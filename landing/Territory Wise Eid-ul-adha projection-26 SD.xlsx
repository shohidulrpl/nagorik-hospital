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Admin\Desktop\"/>
    </mc:Choice>
  </mc:AlternateContent>
  <xr:revisionPtr revIDLastSave="0" documentId="13_ncr:1_{FCB811BA-F74B-44EC-8391-3A24FFC7ECE1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Eid-ul-adha Projection (2)" sheetId="3" state="hidden" r:id="rId1"/>
    <sheet name="Eid-ul-adha Projection" sheetId="1" r:id="rId2"/>
  </sheets>
  <externalReferences>
    <externalReference r:id="rId3"/>
  </externalReferences>
  <definedNames>
    <definedName name="_xlnm._FilterDatabase" localSheetId="1" hidden="1">'Eid-ul-adha Projection'!$A$2:$S$290</definedName>
    <definedName name="_xlnm._FilterDatabase" localSheetId="0" hidden="1">'Eid-ul-adha Projection (2)'!$A$2:$O$290</definedName>
    <definedName name="_xlnm.Print_Area" localSheetId="1">'Eid-ul-adha Projection'!$A:$S</definedName>
    <definedName name="_xlnm.Print_Area" localSheetId="0">'Eid-ul-adha Projection (2)'!$A:$O</definedName>
    <definedName name="_xlnm.Print_Titles" localSheetId="0">'Eid-ul-adha Projection (2)'!$2:$2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86" i="1" l="1"/>
  <c r="Q290" i="1"/>
  <c r="L290" i="1"/>
  <c r="Q3" i="1"/>
  <c r="L288" i="1"/>
  <c r="L279" i="1"/>
  <c r="L272" i="1"/>
  <c r="L262" i="1"/>
  <c r="L254" i="1"/>
  <c r="L246" i="1"/>
  <c r="L237" i="1"/>
  <c r="L228" i="1"/>
  <c r="L219" i="1"/>
  <c r="L211" i="1"/>
  <c r="L202" i="1"/>
  <c r="L193" i="1"/>
  <c r="L184" i="1"/>
  <c r="L175" i="1"/>
  <c r="L166" i="1"/>
  <c r="L157" i="1"/>
  <c r="L149" i="1"/>
  <c r="L140" i="1"/>
  <c r="L131" i="1"/>
  <c r="L122" i="1"/>
  <c r="L113" i="1"/>
  <c r="L105" i="1"/>
  <c r="L96" i="1"/>
  <c r="L87" i="1"/>
  <c r="L78" i="1"/>
  <c r="L69" i="1"/>
  <c r="L59" i="1"/>
  <c r="L50" i="1"/>
  <c r="L41" i="1"/>
  <c r="L33" i="1"/>
  <c r="L25" i="1"/>
  <c r="L17" i="1"/>
  <c r="L10" i="1"/>
  <c r="L60" i="1" l="1"/>
  <c r="L114" i="1"/>
  <c r="L176" i="1"/>
  <c r="L229" i="1"/>
  <c r="L289" i="1"/>
  <c r="Q9" i="1"/>
  <c r="Q11" i="1"/>
  <c r="Q12" i="1"/>
  <c r="Q13" i="1"/>
  <c r="Q14" i="1"/>
  <c r="Q15" i="1"/>
  <c r="Q16" i="1"/>
  <c r="Q19" i="1"/>
  <c r="Q20" i="1"/>
  <c r="Q35" i="1"/>
  <c r="Q42" i="1"/>
  <c r="Q43" i="1"/>
  <c r="Q44" i="1"/>
  <c r="Q45" i="1"/>
  <c r="Q46" i="1"/>
  <c r="Q47" i="1"/>
  <c r="Q48" i="1"/>
  <c r="Q49" i="1"/>
  <c r="Q61" i="1"/>
  <c r="Q70" i="1"/>
  <c r="Q71" i="1"/>
  <c r="Q72" i="1"/>
  <c r="Q73" i="1"/>
  <c r="Q74" i="1"/>
  <c r="Q75" i="1"/>
  <c r="Q76" i="1"/>
  <c r="Q77" i="1"/>
  <c r="Q88" i="1"/>
  <c r="Q89" i="1"/>
  <c r="Q90" i="1"/>
  <c r="Q91" i="1"/>
  <c r="Q92" i="1"/>
  <c r="Q93" i="1"/>
  <c r="Q94" i="1"/>
  <c r="Q95" i="1"/>
  <c r="Q104" i="1"/>
  <c r="Q106" i="1"/>
  <c r="Q107" i="1"/>
  <c r="Q108" i="1"/>
  <c r="Q109" i="1"/>
  <c r="Q110" i="1"/>
  <c r="Q111" i="1"/>
  <c r="Q112" i="1"/>
  <c r="Q127" i="1"/>
  <c r="Q143" i="1"/>
  <c r="Q150" i="1"/>
  <c r="Q151" i="1"/>
  <c r="Q155" i="1"/>
  <c r="Q168" i="1"/>
  <c r="Q173" i="1"/>
  <c r="Q177" i="1"/>
  <c r="Q185" i="1"/>
  <c r="Q191" i="1"/>
  <c r="Q192" i="1"/>
  <c r="Q197" i="1"/>
  <c r="Q199" i="1"/>
  <c r="Q200" i="1"/>
  <c r="Q201" i="1"/>
  <c r="Q206" i="1"/>
  <c r="Q207" i="1"/>
  <c r="Q208" i="1"/>
  <c r="Q209" i="1"/>
  <c r="Q212" i="1"/>
  <c r="Q213" i="1"/>
  <c r="Q214" i="1"/>
  <c r="Q215" i="1"/>
  <c r="Q216" i="1"/>
  <c r="Q217" i="1"/>
  <c r="Q218" i="1"/>
  <c r="Q232" i="1"/>
  <c r="Q250" i="1"/>
  <c r="Q253" i="1"/>
  <c r="Q255" i="1"/>
  <c r="Q256" i="1"/>
  <c r="Q257" i="1"/>
  <c r="Q258" i="1"/>
  <c r="Q259" i="1"/>
  <c r="Q260" i="1"/>
  <c r="Q261" i="1"/>
  <c r="Q263" i="1"/>
  <c r="Q264" i="1"/>
  <c r="Q265" i="1"/>
  <c r="Q266" i="1"/>
  <c r="Q267" i="1"/>
  <c r="Q268" i="1"/>
  <c r="Q269" i="1"/>
  <c r="Q270" i="1"/>
  <c r="Q271" i="1"/>
  <c r="Q280" i="1"/>
  <c r="Q281" i="1"/>
  <c r="Q282" i="1"/>
  <c r="Q283" i="1"/>
  <c r="Q284" i="1"/>
  <c r="Q285" i="1"/>
  <c r="Q287" i="1"/>
  <c r="P288" i="1"/>
  <c r="P279" i="1"/>
  <c r="P272" i="1"/>
  <c r="P262" i="1"/>
  <c r="P254" i="1"/>
  <c r="P246" i="1"/>
  <c r="P237" i="1"/>
  <c r="P228" i="1"/>
  <c r="P219" i="1"/>
  <c r="P211" i="1"/>
  <c r="P202" i="1"/>
  <c r="P193" i="1"/>
  <c r="P184" i="1"/>
  <c r="P175" i="1"/>
  <c r="P166" i="1"/>
  <c r="P157" i="1"/>
  <c r="P149" i="1"/>
  <c r="P140" i="1"/>
  <c r="P131" i="1"/>
  <c r="P122" i="1"/>
  <c r="P113" i="1"/>
  <c r="P105" i="1"/>
  <c r="P96" i="1"/>
  <c r="P87" i="1"/>
  <c r="P78" i="1"/>
  <c r="P69" i="1"/>
  <c r="P59" i="1"/>
  <c r="P50" i="1"/>
  <c r="P41" i="1"/>
  <c r="P33" i="1"/>
  <c r="P25" i="1"/>
  <c r="P17" i="1"/>
  <c r="P10" i="1"/>
  <c r="N288" i="1"/>
  <c r="N279" i="1"/>
  <c r="N272" i="1"/>
  <c r="N262" i="1"/>
  <c r="N254" i="1"/>
  <c r="N246" i="1"/>
  <c r="N237" i="1"/>
  <c r="N228" i="1"/>
  <c r="N219" i="1"/>
  <c r="N211" i="1"/>
  <c r="N202" i="1"/>
  <c r="N193" i="1"/>
  <c r="N184" i="1"/>
  <c r="N175" i="1"/>
  <c r="N166" i="1"/>
  <c r="N157" i="1"/>
  <c r="N149" i="1"/>
  <c r="N140" i="1"/>
  <c r="N131" i="1"/>
  <c r="N122" i="1"/>
  <c r="N113" i="1"/>
  <c r="N105" i="1"/>
  <c r="N96" i="1"/>
  <c r="N87" i="1"/>
  <c r="N78" i="1"/>
  <c r="N69" i="1"/>
  <c r="N59" i="1"/>
  <c r="N50" i="1"/>
  <c r="N41" i="1"/>
  <c r="N33" i="1"/>
  <c r="N25" i="1"/>
  <c r="N17" i="1"/>
  <c r="N4" i="1"/>
  <c r="N5" i="1"/>
  <c r="N6" i="1"/>
  <c r="Q6" i="1" s="1"/>
  <c r="N7" i="1"/>
  <c r="Q7" i="1" s="1"/>
  <c r="N8" i="1"/>
  <c r="Q8" i="1" s="1"/>
  <c r="N3" i="1"/>
  <c r="N10" i="1" s="1"/>
  <c r="S3" i="1"/>
  <c r="N288" i="3"/>
  <c r="M288" i="3"/>
  <c r="L288" i="3"/>
  <c r="K288" i="3"/>
  <c r="J288" i="3"/>
  <c r="F288" i="3"/>
  <c r="O287" i="3"/>
  <c r="H287" i="3"/>
  <c r="I287" i="3" s="1"/>
  <c r="O286" i="3"/>
  <c r="H286" i="3"/>
  <c r="I286" i="3" s="1"/>
  <c r="O285" i="3"/>
  <c r="H285" i="3"/>
  <c r="I285" i="3" s="1"/>
  <c r="O284" i="3"/>
  <c r="H284" i="3"/>
  <c r="I284" i="3" s="1"/>
  <c r="O283" i="3"/>
  <c r="H283" i="3"/>
  <c r="I283" i="3" s="1"/>
  <c r="O282" i="3"/>
  <c r="H282" i="3"/>
  <c r="I282" i="3" s="1"/>
  <c r="O281" i="3"/>
  <c r="H281" i="3"/>
  <c r="I281" i="3" s="1"/>
  <c r="O280" i="3"/>
  <c r="H280" i="3"/>
  <c r="I280" i="3" s="1"/>
  <c r="N279" i="3"/>
  <c r="M279" i="3"/>
  <c r="L279" i="3"/>
  <c r="K279" i="3"/>
  <c r="F279" i="3"/>
  <c r="H279" i="3" s="1"/>
  <c r="I279" i="3" s="1"/>
  <c r="H278" i="3"/>
  <c r="I278" i="3" s="1"/>
  <c r="J278" i="3" s="1"/>
  <c r="O278" i="3" s="1"/>
  <c r="H277" i="3"/>
  <c r="I277" i="3" s="1"/>
  <c r="J277" i="3" s="1"/>
  <c r="O277" i="3" s="1"/>
  <c r="H276" i="3"/>
  <c r="I276" i="3" s="1"/>
  <c r="J276" i="3" s="1"/>
  <c r="O276" i="3" s="1"/>
  <c r="H275" i="3"/>
  <c r="I275" i="3" s="1"/>
  <c r="J275" i="3" s="1"/>
  <c r="O275" i="3" s="1"/>
  <c r="H274" i="3"/>
  <c r="I274" i="3" s="1"/>
  <c r="J274" i="3" s="1"/>
  <c r="O274" i="3" s="1"/>
  <c r="H273" i="3"/>
  <c r="I273" i="3" s="1"/>
  <c r="J273" i="3" s="1"/>
  <c r="N272" i="3"/>
  <c r="M272" i="3"/>
  <c r="L272" i="3"/>
  <c r="K272" i="3"/>
  <c r="J272" i="3"/>
  <c r="F272" i="3"/>
  <c r="H272" i="3" s="1"/>
  <c r="I272" i="3" s="1"/>
  <c r="O271" i="3"/>
  <c r="H271" i="3"/>
  <c r="I271" i="3" s="1"/>
  <c r="O270" i="3"/>
  <c r="H270" i="3"/>
  <c r="I270" i="3" s="1"/>
  <c r="O269" i="3"/>
  <c r="H269" i="3"/>
  <c r="I269" i="3" s="1"/>
  <c r="O268" i="3"/>
  <c r="H268" i="3"/>
  <c r="I268" i="3" s="1"/>
  <c r="O267" i="3"/>
  <c r="H267" i="3"/>
  <c r="I267" i="3" s="1"/>
  <c r="O266" i="3"/>
  <c r="H266" i="3"/>
  <c r="I266" i="3" s="1"/>
  <c r="O265" i="3"/>
  <c r="H265" i="3"/>
  <c r="I265" i="3" s="1"/>
  <c r="O264" i="3"/>
  <c r="H264" i="3"/>
  <c r="I264" i="3" s="1"/>
  <c r="O263" i="3"/>
  <c r="H263" i="3"/>
  <c r="I263" i="3" s="1"/>
  <c r="N262" i="3"/>
  <c r="M262" i="3"/>
  <c r="L262" i="3"/>
  <c r="K262" i="3"/>
  <c r="J262" i="3"/>
  <c r="F262" i="3"/>
  <c r="H262" i="3" s="1"/>
  <c r="I262" i="3" s="1"/>
  <c r="O261" i="3"/>
  <c r="H261" i="3"/>
  <c r="I261" i="3" s="1"/>
  <c r="O260" i="3"/>
  <c r="H260" i="3"/>
  <c r="I260" i="3" s="1"/>
  <c r="O259" i="3"/>
  <c r="H259" i="3"/>
  <c r="I259" i="3" s="1"/>
  <c r="O258" i="3"/>
  <c r="H258" i="3"/>
  <c r="I258" i="3" s="1"/>
  <c r="O257" i="3"/>
  <c r="H257" i="3"/>
  <c r="I257" i="3" s="1"/>
  <c r="O256" i="3"/>
  <c r="H256" i="3"/>
  <c r="I256" i="3" s="1"/>
  <c r="O255" i="3"/>
  <c r="O262" i="3" s="1"/>
  <c r="H255" i="3"/>
  <c r="I255" i="3" s="1"/>
  <c r="N254" i="3"/>
  <c r="M254" i="3"/>
  <c r="L254" i="3"/>
  <c r="K254" i="3"/>
  <c r="F254" i="3"/>
  <c r="H254" i="3" s="1"/>
  <c r="I254" i="3" s="1"/>
  <c r="O253" i="3"/>
  <c r="H253" i="3"/>
  <c r="I253" i="3" s="1"/>
  <c r="H252" i="3"/>
  <c r="I252" i="3" s="1"/>
  <c r="J252" i="3" s="1"/>
  <c r="O252" i="3" s="1"/>
  <c r="H251" i="3"/>
  <c r="I251" i="3" s="1"/>
  <c r="J251" i="3" s="1"/>
  <c r="O251" i="3" s="1"/>
  <c r="O250" i="3"/>
  <c r="H250" i="3"/>
  <c r="I250" i="3" s="1"/>
  <c r="H249" i="3"/>
  <c r="I249" i="3" s="1"/>
  <c r="J249" i="3" s="1"/>
  <c r="O249" i="3" s="1"/>
  <c r="H248" i="3"/>
  <c r="I248" i="3" s="1"/>
  <c r="J248" i="3" s="1"/>
  <c r="O248" i="3" s="1"/>
  <c r="H247" i="3"/>
  <c r="I247" i="3" s="1"/>
  <c r="J247" i="3" s="1"/>
  <c r="N246" i="3"/>
  <c r="M246" i="3"/>
  <c r="L246" i="3"/>
  <c r="K246" i="3"/>
  <c r="F246" i="3"/>
  <c r="H246" i="3" s="1"/>
  <c r="I246" i="3" s="1"/>
  <c r="H245" i="3"/>
  <c r="I245" i="3" s="1"/>
  <c r="J245" i="3" s="1"/>
  <c r="O245" i="3" s="1"/>
  <c r="H244" i="3"/>
  <c r="I244" i="3" s="1"/>
  <c r="J244" i="3" s="1"/>
  <c r="O244" i="3" s="1"/>
  <c r="H243" i="3"/>
  <c r="I243" i="3" s="1"/>
  <c r="J243" i="3" s="1"/>
  <c r="O243" i="3" s="1"/>
  <c r="H242" i="3"/>
  <c r="I242" i="3" s="1"/>
  <c r="J242" i="3" s="1"/>
  <c r="O242" i="3" s="1"/>
  <c r="H241" i="3"/>
  <c r="I241" i="3" s="1"/>
  <c r="J241" i="3" s="1"/>
  <c r="O241" i="3" s="1"/>
  <c r="H240" i="3"/>
  <c r="I240" i="3" s="1"/>
  <c r="J240" i="3" s="1"/>
  <c r="O240" i="3" s="1"/>
  <c r="H239" i="3"/>
  <c r="I239" i="3" s="1"/>
  <c r="J239" i="3" s="1"/>
  <c r="O239" i="3" s="1"/>
  <c r="H238" i="3"/>
  <c r="I238" i="3" s="1"/>
  <c r="J238" i="3" s="1"/>
  <c r="N237" i="3"/>
  <c r="M237" i="3"/>
  <c r="L237" i="3"/>
  <c r="K237" i="3"/>
  <c r="F237" i="3"/>
  <c r="H237" i="3" s="1"/>
  <c r="I237" i="3" s="1"/>
  <c r="H236" i="3"/>
  <c r="I236" i="3" s="1"/>
  <c r="J236" i="3" s="1"/>
  <c r="O236" i="3" s="1"/>
  <c r="H235" i="3"/>
  <c r="I235" i="3" s="1"/>
  <c r="J235" i="3" s="1"/>
  <c r="O235" i="3" s="1"/>
  <c r="H234" i="3"/>
  <c r="I234" i="3" s="1"/>
  <c r="J234" i="3" s="1"/>
  <c r="O234" i="3" s="1"/>
  <c r="H233" i="3"/>
  <c r="I233" i="3" s="1"/>
  <c r="J233" i="3" s="1"/>
  <c r="O233" i="3" s="1"/>
  <c r="O232" i="3"/>
  <c r="H232" i="3"/>
  <c r="I232" i="3" s="1"/>
  <c r="H231" i="3"/>
  <c r="I231" i="3" s="1"/>
  <c r="J231" i="3" s="1"/>
  <c r="O231" i="3" s="1"/>
  <c r="H230" i="3"/>
  <c r="I230" i="3" s="1"/>
  <c r="J230" i="3" s="1"/>
  <c r="N228" i="3"/>
  <c r="M228" i="3"/>
  <c r="L228" i="3"/>
  <c r="K228" i="3"/>
  <c r="F228" i="3"/>
  <c r="H227" i="3"/>
  <c r="I227" i="3" s="1"/>
  <c r="J227" i="3" s="1"/>
  <c r="O227" i="3" s="1"/>
  <c r="H226" i="3"/>
  <c r="I226" i="3" s="1"/>
  <c r="J226" i="3" s="1"/>
  <c r="O226" i="3" s="1"/>
  <c r="H225" i="3"/>
  <c r="I225" i="3" s="1"/>
  <c r="J225" i="3" s="1"/>
  <c r="O225" i="3" s="1"/>
  <c r="H224" i="3"/>
  <c r="I224" i="3" s="1"/>
  <c r="J224" i="3" s="1"/>
  <c r="O224" i="3" s="1"/>
  <c r="H223" i="3"/>
  <c r="I223" i="3" s="1"/>
  <c r="J223" i="3" s="1"/>
  <c r="O223" i="3" s="1"/>
  <c r="H222" i="3"/>
  <c r="I222" i="3" s="1"/>
  <c r="J222" i="3" s="1"/>
  <c r="O222" i="3" s="1"/>
  <c r="H221" i="3"/>
  <c r="I221" i="3" s="1"/>
  <c r="J221" i="3" s="1"/>
  <c r="O221" i="3" s="1"/>
  <c r="H220" i="3"/>
  <c r="I220" i="3" s="1"/>
  <c r="J220" i="3" s="1"/>
  <c r="N219" i="3"/>
  <c r="M219" i="3"/>
  <c r="L219" i="3"/>
  <c r="K219" i="3"/>
  <c r="J219" i="3"/>
  <c r="F219" i="3"/>
  <c r="H219" i="3" s="1"/>
  <c r="I219" i="3" s="1"/>
  <c r="O218" i="3"/>
  <c r="H218" i="3"/>
  <c r="I218" i="3" s="1"/>
  <c r="O217" i="3"/>
  <c r="H217" i="3"/>
  <c r="I217" i="3" s="1"/>
  <c r="O216" i="3"/>
  <c r="H216" i="3"/>
  <c r="I216" i="3" s="1"/>
  <c r="O215" i="3"/>
  <c r="H215" i="3"/>
  <c r="I215" i="3" s="1"/>
  <c r="O214" i="3"/>
  <c r="H214" i="3"/>
  <c r="I214" i="3" s="1"/>
  <c r="O213" i="3"/>
  <c r="H213" i="3"/>
  <c r="I213" i="3" s="1"/>
  <c r="O212" i="3"/>
  <c r="O219" i="3" s="1"/>
  <c r="H212" i="3"/>
  <c r="I212" i="3" s="1"/>
  <c r="N211" i="3"/>
  <c r="M211" i="3"/>
  <c r="L211" i="3"/>
  <c r="K211" i="3"/>
  <c r="F211" i="3"/>
  <c r="H211" i="3" s="1"/>
  <c r="I211" i="3" s="1"/>
  <c r="H210" i="3"/>
  <c r="I210" i="3" s="1"/>
  <c r="J210" i="3" s="1"/>
  <c r="O210" i="3" s="1"/>
  <c r="O209" i="3"/>
  <c r="H209" i="3"/>
  <c r="I209" i="3" s="1"/>
  <c r="O208" i="3"/>
  <c r="H208" i="3"/>
  <c r="I208" i="3" s="1"/>
  <c r="O207" i="3"/>
  <c r="H207" i="3"/>
  <c r="I207" i="3" s="1"/>
  <c r="O206" i="3"/>
  <c r="H206" i="3"/>
  <c r="I206" i="3" s="1"/>
  <c r="H205" i="3"/>
  <c r="I205" i="3" s="1"/>
  <c r="J205" i="3" s="1"/>
  <c r="O205" i="3" s="1"/>
  <c r="H204" i="3"/>
  <c r="I204" i="3" s="1"/>
  <c r="J204" i="3" s="1"/>
  <c r="O204" i="3" s="1"/>
  <c r="H203" i="3"/>
  <c r="I203" i="3" s="1"/>
  <c r="J203" i="3" s="1"/>
  <c r="N202" i="3"/>
  <c r="M202" i="3"/>
  <c r="L202" i="3"/>
  <c r="K202" i="3"/>
  <c r="F202" i="3"/>
  <c r="H202" i="3" s="1"/>
  <c r="I202" i="3" s="1"/>
  <c r="O201" i="3"/>
  <c r="H201" i="3"/>
  <c r="I201" i="3" s="1"/>
  <c r="O200" i="3"/>
  <c r="H200" i="3"/>
  <c r="I200" i="3" s="1"/>
  <c r="O199" i="3"/>
  <c r="H199" i="3"/>
  <c r="I199" i="3" s="1"/>
  <c r="H198" i="3"/>
  <c r="I198" i="3" s="1"/>
  <c r="J198" i="3" s="1"/>
  <c r="O198" i="3" s="1"/>
  <c r="O197" i="3"/>
  <c r="H197" i="3"/>
  <c r="I197" i="3" s="1"/>
  <c r="H196" i="3"/>
  <c r="I196" i="3" s="1"/>
  <c r="J196" i="3" s="1"/>
  <c r="O196" i="3" s="1"/>
  <c r="H195" i="3"/>
  <c r="I195" i="3" s="1"/>
  <c r="J195" i="3" s="1"/>
  <c r="O195" i="3" s="1"/>
  <c r="H194" i="3"/>
  <c r="I194" i="3" s="1"/>
  <c r="J194" i="3" s="1"/>
  <c r="N193" i="3"/>
  <c r="M193" i="3"/>
  <c r="L193" i="3"/>
  <c r="K193" i="3"/>
  <c r="F193" i="3"/>
  <c r="H193" i="3" s="1"/>
  <c r="I193" i="3" s="1"/>
  <c r="O192" i="3"/>
  <c r="H192" i="3"/>
  <c r="I192" i="3" s="1"/>
  <c r="O191" i="3"/>
  <c r="H191" i="3"/>
  <c r="I191" i="3" s="1"/>
  <c r="H190" i="3"/>
  <c r="I190" i="3" s="1"/>
  <c r="J190" i="3" s="1"/>
  <c r="O190" i="3" s="1"/>
  <c r="H189" i="3"/>
  <c r="I189" i="3" s="1"/>
  <c r="J189" i="3" s="1"/>
  <c r="O189" i="3" s="1"/>
  <c r="H188" i="3"/>
  <c r="I188" i="3" s="1"/>
  <c r="J188" i="3" s="1"/>
  <c r="O188" i="3" s="1"/>
  <c r="H187" i="3"/>
  <c r="I187" i="3" s="1"/>
  <c r="J187" i="3" s="1"/>
  <c r="O187" i="3" s="1"/>
  <c r="H186" i="3"/>
  <c r="I186" i="3" s="1"/>
  <c r="J186" i="3" s="1"/>
  <c r="O185" i="3"/>
  <c r="H185" i="3"/>
  <c r="I185" i="3" s="1"/>
  <c r="N184" i="3"/>
  <c r="M184" i="3"/>
  <c r="L184" i="3"/>
  <c r="K184" i="3"/>
  <c r="F184" i="3"/>
  <c r="H184" i="3" s="1"/>
  <c r="I184" i="3" s="1"/>
  <c r="H183" i="3"/>
  <c r="I183" i="3" s="1"/>
  <c r="J183" i="3" s="1"/>
  <c r="O183" i="3" s="1"/>
  <c r="H182" i="3"/>
  <c r="I182" i="3" s="1"/>
  <c r="J182" i="3" s="1"/>
  <c r="O182" i="3" s="1"/>
  <c r="H181" i="3"/>
  <c r="I181" i="3" s="1"/>
  <c r="J181" i="3" s="1"/>
  <c r="O181" i="3" s="1"/>
  <c r="H180" i="3"/>
  <c r="I180" i="3" s="1"/>
  <c r="J180" i="3" s="1"/>
  <c r="O180" i="3" s="1"/>
  <c r="H179" i="3"/>
  <c r="I179" i="3" s="1"/>
  <c r="J179" i="3" s="1"/>
  <c r="O179" i="3" s="1"/>
  <c r="H178" i="3"/>
  <c r="I178" i="3" s="1"/>
  <c r="J178" i="3" s="1"/>
  <c r="O177" i="3"/>
  <c r="H177" i="3"/>
  <c r="I177" i="3" s="1"/>
  <c r="N175" i="3"/>
  <c r="M175" i="3"/>
  <c r="L175" i="3"/>
  <c r="K175" i="3"/>
  <c r="F175" i="3"/>
  <c r="H174" i="3"/>
  <c r="I174" i="3" s="1"/>
  <c r="J174" i="3" s="1"/>
  <c r="O174" i="3" s="1"/>
  <c r="O173" i="3"/>
  <c r="H173" i="3"/>
  <c r="I173" i="3" s="1"/>
  <c r="H172" i="3"/>
  <c r="I172" i="3" s="1"/>
  <c r="J172" i="3" s="1"/>
  <c r="O172" i="3" s="1"/>
  <c r="H171" i="3"/>
  <c r="I171" i="3" s="1"/>
  <c r="J171" i="3" s="1"/>
  <c r="O171" i="3" s="1"/>
  <c r="H170" i="3"/>
  <c r="I170" i="3" s="1"/>
  <c r="J170" i="3" s="1"/>
  <c r="O170" i="3" s="1"/>
  <c r="H169" i="3"/>
  <c r="I169" i="3" s="1"/>
  <c r="J169" i="3" s="1"/>
  <c r="O169" i="3" s="1"/>
  <c r="O168" i="3"/>
  <c r="H168" i="3"/>
  <c r="I168" i="3" s="1"/>
  <c r="H167" i="3"/>
  <c r="I167" i="3" s="1"/>
  <c r="J167" i="3" s="1"/>
  <c r="N166" i="3"/>
  <c r="M166" i="3"/>
  <c r="L166" i="3"/>
  <c r="K166" i="3"/>
  <c r="F166" i="3"/>
  <c r="H166" i="3" s="1"/>
  <c r="I166" i="3" s="1"/>
  <c r="H165" i="3"/>
  <c r="I165" i="3" s="1"/>
  <c r="J165" i="3" s="1"/>
  <c r="O165" i="3" s="1"/>
  <c r="H164" i="3"/>
  <c r="I164" i="3" s="1"/>
  <c r="J164" i="3" s="1"/>
  <c r="O164" i="3" s="1"/>
  <c r="H163" i="3"/>
  <c r="I163" i="3" s="1"/>
  <c r="J163" i="3" s="1"/>
  <c r="O163" i="3" s="1"/>
  <c r="H162" i="3"/>
  <c r="I162" i="3" s="1"/>
  <c r="J162" i="3" s="1"/>
  <c r="O162" i="3" s="1"/>
  <c r="H161" i="3"/>
  <c r="I161" i="3" s="1"/>
  <c r="J161" i="3" s="1"/>
  <c r="O161" i="3" s="1"/>
  <c r="H160" i="3"/>
  <c r="I160" i="3" s="1"/>
  <c r="J160" i="3" s="1"/>
  <c r="O160" i="3" s="1"/>
  <c r="H159" i="3"/>
  <c r="I159" i="3" s="1"/>
  <c r="J159" i="3" s="1"/>
  <c r="O159" i="3" s="1"/>
  <c r="H158" i="3"/>
  <c r="I158" i="3" s="1"/>
  <c r="J158" i="3" s="1"/>
  <c r="N157" i="3"/>
  <c r="M157" i="3"/>
  <c r="L157" i="3"/>
  <c r="K157" i="3"/>
  <c r="F157" i="3"/>
  <c r="H157" i="3" s="1"/>
  <c r="I157" i="3" s="1"/>
  <c r="H156" i="3"/>
  <c r="I156" i="3" s="1"/>
  <c r="J156" i="3" s="1"/>
  <c r="O156" i="3" s="1"/>
  <c r="O155" i="3"/>
  <c r="H155" i="3"/>
  <c r="I155" i="3" s="1"/>
  <c r="H154" i="3"/>
  <c r="I154" i="3" s="1"/>
  <c r="J154" i="3" s="1"/>
  <c r="O154" i="3" s="1"/>
  <c r="H153" i="3"/>
  <c r="I153" i="3" s="1"/>
  <c r="J153" i="3" s="1"/>
  <c r="O153" i="3" s="1"/>
  <c r="H152" i="3"/>
  <c r="I152" i="3" s="1"/>
  <c r="J152" i="3" s="1"/>
  <c r="O151" i="3"/>
  <c r="H151" i="3"/>
  <c r="I151" i="3" s="1"/>
  <c r="O150" i="3"/>
  <c r="H150" i="3"/>
  <c r="I150" i="3" s="1"/>
  <c r="N149" i="3"/>
  <c r="M149" i="3"/>
  <c r="L149" i="3"/>
  <c r="K149" i="3"/>
  <c r="F149" i="3"/>
  <c r="H149" i="3" s="1"/>
  <c r="I149" i="3" s="1"/>
  <c r="H148" i="3"/>
  <c r="I148" i="3" s="1"/>
  <c r="J148" i="3" s="1"/>
  <c r="O148" i="3" s="1"/>
  <c r="H147" i="3"/>
  <c r="I147" i="3" s="1"/>
  <c r="J147" i="3" s="1"/>
  <c r="O147" i="3" s="1"/>
  <c r="H146" i="3"/>
  <c r="I146" i="3" s="1"/>
  <c r="J146" i="3" s="1"/>
  <c r="O146" i="3" s="1"/>
  <c r="H145" i="3"/>
  <c r="I145" i="3" s="1"/>
  <c r="J145" i="3" s="1"/>
  <c r="O145" i="3" s="1"/>
  <c r="H144" i="3"/>
  <c r="I144" i="3" s="1"/>
  <c r="J144" i="3" s="1"/>
  <c r="O144" i="3" s="1"/>
  <c r="O143" i="3"/>
  <c r="H143" i="3"/>
  <c r="I143" i="3" s="1"/>
  <c r="H142" i="3"/>
  <c r="I142" i="3" s="1"/>
  <c r="J142" i="3" s="1"/>
  <c r="O142" i="3" s="1"/>
  <c r="H141" i="3"/>
  <c r="I141" i="3" s="1"/>
  <c r="J141" i="3" s="1"/>
  <c r="N140" i="3"/>
  <c r="M140" i="3"/>
  <c r="L140" i="3"/>
  <c r="K140" i="3"/>
  <c r="F140" i="3"/>
  <c r="H140" i="3" s="1"/>
  <c r="I140" i="3" s="1"/>
  <c r="H139" i="3"/>
  <c r="I139" i="3" s="1"/>
  <c r="J139" i="3" s="1"/>
  <c r="O139" i="3" s="1"/>
  <c r="H138" i="3"/>
  <c r="I138" i="3" s="1"/>
  <c r="J138" i="3" s="1"/>
  <c r="O138" i="3" s="1"/>
  <c r="H137" i="3"/>
  <c r="I137" i="3" s="1"/>
  <c r="J137" i="3" s="1"/>
  <c r="O137" i="3" s="1"/>
  <c r="H136" i="3"/>
  <c r="I136" i="3" s="1"/>
  <c r="J136" i="3" s="1"/>
  <c r="O136" i="3" s="1"/>
  <c r="H135" i="3"/>
  <c r="I135" i="3" s="1"/>
  <c r="J135" i="3" s="1"/>
  <c r="O135" i="3" s="1"/>
  <c r="H134" i="3"/>
  <c r="I134" i="3" s="1"/>
  <c r="J134" i="3" s="1"/>
  <c r="O134" i="3" s="1"/>
  <c r="H133" i="3"/>
  <c r="I133" i="3" s="1"/>
  <c r="J133" i="3" s="1"/>
  <c r="O133" i="3" s="1"/>
  <c r="H132" i="3"/>
  <c r="I132" i="3" s="1"/>
  <c r="J132" i="3" s="1"/>
  <c r="N131" i="3"/>
  <c r="M131" i="3"/>
  <c r="L131" i="3"/>
  <c r="K131" i="3"/>
  <c r="F131" i="3"/>
  <c r="H131" i="3" s="1"/>
  <c r="I131" i="3" s="1"/>
  <c r="H130" i="3"/>
  <c r="I130" i="3" s="1"/>
  <c r="J130" i="3" s="1"/>
  <c r="O130" i="3" s="1"/>
  <c r="H129" i="3"/>
  <c r="I129" i="3" s="1"/>
  <c r="J129" i="3" s="1"/>
  <c r="O129" i="3" s="1"/>
  <c r="H128" i="3"/>
  <c r="I128" i="3" s="1"/>
  <c r="J128" i="3" s="1"/>
  <c r="O128" i="3" s="1"/>
  <c r="O127" i="3"/>
  <c r="H127" i="3"/>
  <c r="I127" i="3" s="1"/>
  <c r="H126" i="3"/>
  <c r="I126" i="3" s="1"/>
  <c r="J126" i="3" s="1"/>
  <c r="O126" i="3" s="1"/>
  <c r="H125" i="3"/>
  <c r="I125" i="3" s="1"/>
  <c r="J125" i="3" s="1"/>
  <c r="O125" i="3" s="1"/>
  <c r="H124" i="3"/>
  <c r="I124" i="3" s="1"/>
  <c r="J124" i="3" s="1"/>
  <c r="O124" i="3" s="1"/>
  <c r="H123" i="3"/>
  <c r="I123" i="3" s="1"/>
  <c r="J123" i="3" s="1"/>
  <c r="N122" i="3"/>
  <c r="M122" i="3"/>
  <c r="L122" i="3"/>
  <c r="K122" i="3"/>
  <c r="F122" i="3"/>
  <c r="H122" i="3" s="1"/>
  <c r="I122" i="3" s="1"/>
  <c r="H121" i="3"/>
  <c r="I121" i="3" s="1"/>
  <c r="J121" i="3" s="1"/>
  <c r="O121" i="3" s="1"/>
  <c r="H120" i="3"/>
  <c r="I120" i="3" s="1"/>
  <c r="J120" i="3" s="1"/>
  <c r="O120" i="3" s="1"/>
  <c r="H119" i="3"/>
  <c r="I119" i="3" s="1"/>
  <c r="J119" i="3" s="1"/>
  <c r="O119" i="3" s="1"/>
  <c r="H118" i="3"/>
  <c r="I118" i="3" s="1"/>
  <c r="J118" i="3" s="1"/>
  <c r="O118" i="3" s="1"/>
  <c r="H117" i="3"/>
  <c r="I117" i="3" s="1"/>
  <c r="J117" i="3" s="1"/>
  <c r="O117" i="3" s="1"/>
  <c r="H116" i="3"/>
  <c r="I116" i="3" s="1"/>
  <c r="J116" i="3" s="1"/>
  <c r="O116" i="3" s="1"/>
  <c r="H115" i="3"/>
  <c r="I115" i="3" s="1"/>
  <c r="J115" i="3" s="1"/>
  <c r="N113" i="3"/>
  <c r="M113" i="3"/>
  <c r="L113" i="3"/>
  <c r="K113" i="3"/>
  <c r="J113" i="3"/>
  <c r="F113" i="3"/>
  <c r="O112" i="3"/>
  <c r="H112" i="3"/>
  <c r="I112" i="3" s="1"/>
  <c r="O111" i="3"/>
  <c r="H111" i="3"/>
  <c r="I111" i="3" s="1"/>
  <c r="O110" i="3"/>
  <c r="H110" i="3"/>
  <c r="I110" i="3" s="1"/>
  <c r="O109" i="3"/>
  <c r="H109" i="3"/>
  <c r="I109" i="3" s="1"/>
  <c r="O108" i="3"/>
  <c r="H108" i="3"/>
  <c r="I108" i="3" s="1"/>
  <c r="O107" i="3"/>
  <c r="H107" i="3"/>
  <c r="I107" i="3" s="1"/>
  <c r="O106" i="3"/>
  <c r="O113" i="3" s="1"/>
  <c r="H106" i="3"/>
  <c r="I106" i="3" s="1"/>
  <c r="N105" i="3"/>
  <c r="M105" i="3"/>
  <c r="L105" i="3"/>
  <c r="K105" i="3"/>
  <c r="F105" i="3"/>
  <c r="H105" i="3" s="1"/>
  <c r="I105" i="3" s="1"/>
  <c r="O104" i="3"/>
  <c r="H104" i="3"/>
  <c r="I104" i="3" s="1"/>
  <c r="H103" i="3"/>
  <c r="I103" i="3" s="1"/>
  <c r="J103" i="3" s="1"/>
  <c r="O103" i="3" s="1"/>
  <c r="H102" i="3"/>
  <c r="I102" i="3" s="1"/>
  <c r="J102" i="3" s="1"/>
  <c r="O102" i="3" s="1"/>
  <c r="H101" i="3"/>
  <c r="I101" i="3" s="1"/>
  <c r="J101" i="3" s="1"/>
  <c r="O101" i="3" s="1"/>
  <c r="H100" i="3"/>
  <c r="I100" i="3" s="1"/>
  <c r="J100" i="3" s="1"/>
  <c r="O100" i="3" s="1"/>
  <c r="H99" i="3"/>
  <c r="I99" i="3" s="1"/>
  <c r="J99" i="3" s="1"/>
  <c r="O99" i="3" s="1"/>
  <c r="H98" i="3"/>
  <c r="I98" i="3" s="1"/>
  <c r="J98" i="3" s="1"/>
  <c r="O98" i="3" s="1"/>
  <c r="H97" i="3"/>
  <c r="I97" i="3" s="1"/>
  <c r="J97" i="3" s="1"/>
  <c r="N96" i="3"/>
  <c r="M96" i="3"/>
  <c r="L96" i="3"/>
  <c r="K96" i="3"/>
  <c r="J96" i="3"/>
  <c r="F96" i="3"/>
  <c r="H96" i="3" s="1"/>
  <c r="I96" i="3" s="1"/>
  <c r="O95" i="3"/>
  <c r="H95" i="3"/>
  <c r="I95" i="3" s="1"/>
  <c r="O94" i="3"/>
  <c r="H94" i="3"/>
  <c r="I94" i="3" s="1"/>
  <c r="O93" i="3"/>
  <c r="H93" i="3"/>
  <c r="I93" i="3" s="1"/>
  <c r="O92" i="3"/>
  <c r="H92" i="3"/>
  <c r="I92" i="3" s="1"/>
  <c r="O91" i="3"/>
  <c r="H91" i="3"/>
  <c r="I91" i="3" s="1"/>
  <c r="O90" i="3"/>
  <c r="H90" i="3"/>
  <c r="I90" i="3" s="1"/>
  <c r="O89" i="3"/>
  <c r="H89" i="3"/>
  <c r="I89" i="3" s="1"/>
  <c r="O88" i="3"/>
  <c r="O96" i="3" s="1"/>
  <c r="H88" i="3"/>
  <c r="I88" i="3" s="1"/>
  <c r="N87" i="3"/>
  <c r="M87" i="3"/>
  <c r="L87" i="3"/>
  <c r="K87" i="3"/>
  <c r="F87" i="3"/>
  <c r="H87" i="3" s="1"/>
  <c r="I87" i="3" s="1"/>
  <c r="H86" i="3"/>
  <c r="I86" i="3" s="1"/>
  <c r="J86" i="3" s="1"/>
  <c r="O86" i="3" s="1"/>
  <c r="H85" i="3"/>
  <c r="I85" i="3" s="1"/>
  <c r="J85" i="3" s="1"/>
  <c r="O85" i="3" s="1"/>
  <c r="H84" i="3"/>
  <c r="I84" i="3" s="1"/>
  <c r="J84" i="3" s="1"/>
  <c r="O84" i="3" s="1"/>
  <c r="H83" i="3"/>
  <c r="I83" i="3" s="1"/>
  <c r="J83" i="3" s="1"/>
  <c r="O83" i="3" s="1"/>
  <c r="H82" i="3"/>
  <c r="I82" i="3" s="1"/>
  <c r="J82" i="3" s="1"/>
  <c r="O82" i="3" s="1"/>
  <c r="H81" i="3"/>
  <c r="I81" i="3" s="1"/>
  <c r="J81" i="3" s="1"/>
  <c r="O81" i="3" s="1"/>
  <c r="H80" i="3"/>
  <c r="I80" i="3" s="1"/>
  <c r="J80" i="3" s="1"/>
  <c r="O80" i="3" s="1"/>
  <c r="H79" i="3"/>
  <c r="I79" i="3" s="1"/>
  <c r="J79" i="3" s="1"/>
  <c r="N78" i="3"/>
  <c r="M78" i="3"/>
  <c r="L78" i="3"/>
  <c r="K78" i="3"/>
  <c r="J78" i="3"/>
  <c r="F78" i="3"/>
  <c r="H78" i="3" s="1"/>
  <c r="I78" i="3" s="1"/>
  <c r="O77" i="3"/>
  <c r="H77" i="3"/>
  <c r="I77" i="3" s="1"/>
  <c r="O76" i="3"/>
  <c r="H76" i="3"/>
  <c r="I76" i="3" s="1"/>
  <c r="O75" i="3"/>
  <c r="H75" i="3"/>
  <c r="I75" i="3" s="1"/>
  <c r="O74" i="3"/>
  <c r="H74" i="3"/>
  <c r="I74" i="3" s="1"/>
  <c r="O73" i="3"/>
  <c r="H73" i="3"/>
  <c r="I73" i="3" s="1"/>
  <c r="O72" i="3"/>
  <c r="H72" i="3"/>
  <c r="I72" i="3" s="1"/>
  <c r="O71" i="3"/>
  <c r="H71" i="3"/>
  <c r="I71" i="3" s="1"/>
  <c r="O70" i="3"/>
  <c r="H70" i="3"/>
  <c r="I70" i="3" s="1"/>
  <c r="N69" i="3"/>
  <c r="M69" i="3"/>
  <c r="L69" i="3"/>
  <c r="K69" i="3"/>
  <c r="F69" i="3"/>
  <c r="H69" i="3" s="1"/>
  <c r="I69" i="3" s="1"/>
  <c r="H68" i="3"/>
  <c r="I68" i="3" s="1"/>
  <c r="J68" i="3" s="1"/>
  <c r="O68" i="3" s="1"/>
  <c r="H67" i="3"/>
  <c r="I67" i="3" s="1"/>
  <c r="J67" i="3" s="1"/>
  <c r="O67" i="3" s="1"/>
  <c r="H66" i="3"/>
  <c r="I66" i="3" s="1"/>
  <c r="J66" i="3" s="1"/>
  <c r="O66" i="3" s="1"/>
  <c r="H65" i="3"/>
  <c r="I65" i="3" s="1"/>
  <c r="J65" i="3" s="1"/>
  <c r="O65" i="3" s="1"/>
  <c r="H64" i="3"/>
  <c r="I64" i="3" s="1"/>
  <c r="J64" i="3" s="1"/>
  <c r="O64" i="3" s="1"/>
  <c r="H63" i="3"/>
  <c r="I63" i="3" s="1"/>
  <c r="J63" i="3" s="1"/>
  <c r="O63" i="3" s="1"/>
  <c r="H62" i="3"/>
  <c r="I62" i="3" s="1"/>
  <c r="J62" i="3" s="1"/>
  <c r="O61" i="3"/>
  <c r="H61" i="3"/>
  <c r="I61" i="3" s="1"/>
  <c r="N59" i="3"/>
  <c r="M59" i="3"/>
  <c r="L59" i="3"/>
  <c r="K59" i="3"/>
  <c r="F59" i="3"/>
  <c r="H58" i="3"/>
  <c r="I58" i="3" s="1"/>
  <c r="J58" i="3" s="1"/>
  <c r="O58" i="3" s="1"/>
  <c r="H57" i="3"/>
  <c r="H56" i="3"/>
  <c r="I56" i="3" s="1"/>
  <c r="J56" i="3" s="1"/>
  <c r="O56" i="3" s="1"/>
  <c r="H55" i="3"/>
  <c r="H54" i="3"/>
  <c r="H53" i="3"/>
  <c r="I53" i="3" s="1"/>
  <c r="J53" i="3" s="1"/>
  <c r="O53" i="3" s="1"/>
  <c r="H52" i="3"/>
  <c r="H51" i="3"/>
  <c r="N50" i="3"/>
  <c r="M50" i="3"/>
  <c r="L50" i="3"/>
  <c r="K50" i="3"/>
  <c r="J50" i="3"/>
  <c r="F50" i="3"/>
  <c r="H50" i="3" s="1"/>
  <c r="I50" i="3" s="1"/>
  <c r="O49" i="3"/>
  <c r="H49" i="3"/>
  <c r="I49" i="3" s="1"/>
  <c r="O48" i="3"/>
  <c r="H48" i="3"/>
  <c r="I48" i="3" s="1"/>
  <c r="O47" i="3"/>
  <c r="H47" i="3"/>
  <c r="I47" i="3" s="1"/>
  <c r="O46" i="3"/>
  <c r="H46" i="3"/>
  <c r="I46" i="3" s="1"/>
  <c r="O45" i="3"/>
  <c r="H45" i="3"/>
  <c r="I45" i="3" s="1"/>
  <c r="O44" i="3"/>
  <c r="H44" i="3"/>
  <c r="I44" i="3" s="1"/>
  <c r="O43" i="3"/>
  <c r="H43" i="3"/>
  <c r="I43" i="3" s="1"/>
  <c r="O42" i="3"/>
  <c r="H42" i="3"/>
  <c r="I42" i="3" s="1"/>
  <c r="N41" i="3"/>
  <c r="M41" i="3"/>
  <c r="L41" i="3"/>
  <c r="K41" i="3"/>
  <c r="F41" i="3"/>
  <c r="H41" i="3" s="1"/>
  <c r="I41" i="3" s="1"/>
  <c r="H40" i="3"/>
  <c r="I40" i="3" s="1"/>
  <c r="J40" i="3" s="1"/>
  <c r="O40" i="3" s="1"/>
  <c r="H39" i="3"/>
  <c r="H38" i="3"/>
  <c r="H37" i="3"/>
  <c r="H36" i="3"/>
  <c r="O35" i="3"/>
  <c r="H35" i="3"/>
  <c r="I35" i="3" s="1"/>
  <c r="H34" i="3"/>
  <c r="N33" i="3"/>
  <c r="M33" i="3"/>
  <c r="L33" i="3"/>
  <c r="K33" i="3"/>
  <c r="F33" i="3"/>
  <c r="H33" i="3" s="1"/>
  <c r="I33" i="3" s="1"/>
  <c r="H32" i="3"/>
  <c r="I32" i="3" s="1"/>
  <c r="J32" i="3" s="1"/>
  <c r="O32" i="3" s="1"/>
  <c r="H31" i="3"/>
  <c r="H30" i="3"/>
  <c r="I30" i="3" s="1"/>
  <c r="J30" i="3" s="1"/>
  <c r="O30" i="3" s="1"/>
  <c r="H29" i="3"/>
  <c r="I29" i="3" s="1"/>
  <c r="J29" i="3" s="1"/>
  <c r="O29" i="3" s="1"/>
  <c r="H28" i="3"/>
  <c r="I28" i="3" s="1"/>
  <c r="J28" i="3" s="1"/>
  <c r="O28" i="3" s="1"/>
  <c r="H27" i="3"/>
  <c r="I27" i="3" s="1"/>
  <c r="J27" i="3" s="1"/>
  <c r="O27" i="3" s="1"/>
  <c r="H26" i="3"/>
  <c r="I26" i="3" s="1"/>
  <c r="J26" i="3" s="1"/>
  <c r="N25" i="3"/>
  <c r="M25" i="3"/>
  <c r="L25" i="3"/>
  <c r="K25" i="3"/>
  <c r="F25" i="3"/>
  <c r="H25" i="3" s="1"/>
  <c r="I25" i="3" s="1"/>
  <c r="H24" i="3"/>
  <c r="I24" i="3" s="1"/>
  <c r="J24" i="3" s="1"/>
  <c r="O24" i="3" s="1"/>
  <c r="H23" i="3"/>
  <c r="I23" i="3" s="1"/>
  <c r="J23" i="3" s="1"/>
  <c r="O23" i="3" s="1"/>
  <c r="H22" i="3"/>
  <c r="I22" i="3" s="1"/>
  <c r="J22" i="3" s="1"/>
  <c r="O22" i="3" s="1"/>
  <c r="H21" i="3"/>
  <c r="I21" i="3" s="1"/>
  <c r="J21" i="3" s="1"/>
  <c r="O21" i="3" s="1"/>
  <c r="O20" i="3"/>
  <c r="H20" i="3"/>
  <c r="I20" i="3" s="1"/>
  <c r="O19" i="3"/>
  <c r="H19" i="3"/>
  <c r="I19" i="3" s="1"/>
  <c r="H18" i="3"/>
  <c r="I18" i="3" s="1"/>
  <c r="J18" i="3" s="1"/>
  <c r="N17" i="3"/>
  <c r="M17" i="3"/>
  <c r="L17" i="3"/>
  <c r="K17" i="3"/>
  <c r="J17" i="3"/>
  <c r="F17" i="3"/>
  <c r="H17" i="3" s="1"/>
  <c r="I17" i="3" s="1"/>
  <c r="O16" i="3"/>
  <c r="H16" i="3"/>
  <c r="I16" i="3" s="1"/>
  <c r="O15" i="3"/>
  <c r="H15" i="3"/>
  <c r="I15" i="3" s="1"/>
  <c r="O14" i="3"/>
  <c r="H14" i="3"/>
  <c r="I14" i="3" s="1"/>
  <c r="O13" i="3"/>
  <c r="H13" i="3"/>
  <c r="I13" i="3" s="1"/>
  <c r="O12" i="3"/>
  <c r="H12" i="3"/>
  <c r="I12" i="3" s="1"/>
  <c r="O11" i="3"/>
  <c r="H11" i="3"/>
  <c r="I11" i="3" s="1"/>
  <c r="N10" i="3"/>
  <c r="M10" i="3"/>
  <c r="L10" i="3"/>
  <c r="K10" i="3"/>
  <c r="F10" i="3"/>
  <c r="H10" i="3" s="1"/>
  <c r="I10" i="3" s="1"/>
  <c r="O9" i="3"/>
  <c r="H9" i="3"/>
  <c r="I9" i="3" s="1"/>
  <c r="O8" i="3"/>
  <c r="H8" i="3"/>
  <c r="I8" i="3" s="1"/>
  <c r="O7" i="3"/>
  <c r="H7" i="3"/>
  <c r="I7" i="3" s="1"/>
  <c r="O6" i="3"/>
  <c r="H6" i="3"/>
  <c r="I6" i="3" s="1"/>
  <c r="H5" i="3"/>
  <c r="I5" i="3" s="1"/>
  <c r="J5" i="3" s="1"/>
  <c r="O5" i="3" s="1"/>
  <c r="H4" i="3"/>
  <c r="I4" i="3" s="1"/>
  <c r="J4" i="3" s="1"/>
  <c r="O3" i="3"/>
  <c r="H3" i="3"/>
  <c r="I3" i="3" s="1"/>
  <c r="P60" i="1" l="1"/>
  <c r="P114" i="1"/>
  <c r="P176" i="1"/>
  <c r="P229" i="1"/>
  <c r="P289" i="1"/>
  <c r="N60" i="1"/>
  <c r="N114" i="1"/>
  <c r="N176" i="1"/>
  <c r="N229" i="1"/>
  <c r="N289" i="1"/>
  <c r="N290" i="1" s="1"/>
  <c r="O288" i="3"/>
  <c r="O272" i="3"/>
  <c r="O78" i="3"/>
  <c r="O50" i="3"/>
  <c r="O17" i="3"/>
  <c r="J10" i="3"/>
  <c r="O4" i="3"/>
  <c r="O10" i="3" s="1"/>
  <c r="J25" i="3"/>
  <c r="O18" i="3"/>
  <c r="O25" i="3" s="1"/>
  <c r="O26" i="3"/>
  <c r="J31" i="3"/>
  <c r="I31" i="3"/>
  <c r="J34" i="3"/>
  <c r="I34" i="3"/>
  <c r="J36" i="3"/>
  <c r="O36" i="3" s="1"/>
  <c r="I36" i="3"/>
  <c r="J37" i="3"/>
  <c r="O37" i="3" s="1"/>
  <c r="I37" i="3"/>
  <c r="J38" i="3"/>
  <c r="O38" i="3" s="1"/>
  <c r="I38" i="3"/>
  <c r="J39" i="3"/>
  <c r="O39" i="3" s="1"/>
  <c r="I39" i="3"/>
  <c r="J51" i="3"/>
  <c r="I51" i="3"/>
  <c r="J52" i="3"/>
  <c r="O52" i="3" s="1"/>
  <c r="I52" i="3"/>
  <c r="J54" i="3"/>
  <c r="O54" i="3" s="1"/>
  <c r="I54" i="3"/>
  <c r="J55" i="3"/>
  <c r="O55" i="3" s="1"/>
  <c r="I55" i="3"/>
  <c r="J57" i="3"/>
  <c r="O57" i="3" s="1"/>
  <c r="I57" i="3"/>
  <c r="F60" i="3"/>
  <c r="H60" i="3" s="1"/>
  <c r="I60" i="3" s="1"/>
  <c r="H59" i="3"/>
  <c r="I59" i="3" s="1"/>
  <c r="K60" i="3"/>
  <c r="L60" i="3"/>
  <c r="M60" i="3"/>
  <c r="N60" i="3"/>
  <c r="J69" i="3"/>
  <c r="O62" i="3"/>
  <c r="O69" i="3" s="1"/>
  <c r="J87" i="3"/>
  <c r="O79" i="3"/>
  <c r="O87" i="3" s="1"/>
  <c r="J105" i="3"/>
  <c r="O97" i="3"/>
  <c r="O105" i="3" s="1"/>
  <c r="O114" i="3"/>
  <c r="F114" i="3"/>
  <c r="H114" i="3" s="1"/>
  <c r="I114" i="3" s="1"/>
  <c r="H113" i="3"/>
  <c r="I113" i="3" s="1"/>
  <c r="J114" i="3"/>
  <c r="K114" i="3"/>
  <c r="L114" i="3"/>
  <c r="M114" i="3"/>
  <c r="N114" i="3"/>
  <c r="J122" i="3"/>
  <c r="O115" i="3"/>
  <c r="O122" i="3" s="1"/>
  <c r="J131" i="3"/>
  <c r="O123" i="3"/>
  <c r="O131" i="3" s="1"/>
  <c r="J140" i="3"/>
  <c r="O132" i="3"/>
  <c r="O140" i="3" s="1"/>
  <c r="J149" i="3"/>
  <c r="O141" i="3"/>
  <c r="O149" i="3" s="1"/>
  <c r="J157" i="3"/>
  <c r="O152" i="3"/>
  <c r="O157" i="3" s="1"/>
  <c r="J166" i="3"/>
  <c r="O158" i="3"/>
  <c r="O166" i="3" s="1"/>
  <c r="J175" i="3"/>
  <c r="O167" i="3"/>
  <c r="O175" i="3" s="1"/>
  <c r="F176" i="3"/>
  <c r="H176" i="3" s="1"/>
  <c r="I176" i="3" s="1"/>
  <c r="H175" i="3"/>
  <c r="I175" i="3" s="1"/>
  <c r="K176" i="3"/>
  <c r="L176" i="3"/>
  <c r="M176" i="3"/>
  <c r="N176" i="3"/>
  <c r="J184" i="3"/>
  <c r="O178" i="3"/>
  <c r="O184" i="3" s="1"/>
  <c r="J193" i="3"/>
  <c r="O186" i="3"/>
  <c r="O193" i="3" s="1"/>
  <c r="J202" i="3"/>
  <c r="O194" i="3"/>
  <c r="O202" i="3" s="1"/>
  <c r="J211" i="3"/>
  <c r="O203" i="3"/>
  <c r="O211" i="3" s="1"/>
  <c r="J228" i="3"/>
  <c r="J229" i="3" s="1"/>
  <c r="O220" i="3"/>
  <c r="O228" i="3" s="1"/>
  <c r="O229" i="3" s="1"/>
  <c r="F229" i="3"/>
  <c r="H229" i="3" s="1"/>
  <c r="I229" i="3" s="1"/>
  <c r="H228" i="3"/>
  <c r="I228" i="3" s="1"/>
  <c r="K229" i="3"/>
  <c r="L229" i="3"/>
  <c r="M229" i="3"/>
  <c r="N229" i="3"/>
  <c r="J237" i="3"/>
  <c r="O230" i="3"/>
  <c r="O237" i="3" s="1"/>
  <c r="J246" i="3"/>
  <c r="O238" i="3"/>
  <c r="O246" i="3" s="1"/>
  <c r="J254" i="3"/>
  <c r="O247" i="3"/>
  <c r="O254" i="3" s="1"/>
  <c r="J279" i="3"/>
  <c r="J289" i="3" s="1"/>
  <c r="O273" i="3"/>
  <c r="O279" i="3" s="1"/>
  <c r="O289" i="3" s="1"/>
  <c r="F289" i="3"/>
  <c r="H288" i="3"/>
  <c r="I288" i="3" s="1"/>
  <c r="K289" i="3"/>
  <c r="L289" i="3"/>
  <c r="M289" i="3"/>
  <c r="N289" i="3"/>
  <c r="P290" i="1" l="1"/>
  <c r="N290" i="3"/>
  <c r="L290" i="3"/>
  <c r="O176" i="3"/>
  <c r="K290" i="3"/>
  <c r="M290" i="3"/>
  <c r="J176" i="3"/>
  <c r="F290" i="3"/>
  <c r="H290" i="3" s="1"/>
  <c r="I290" i="3" s="1"/>
  <c r="H289" i="3"/>
  <c r="I289" i="3" s="1"/>
  <c r="J59" i="3"/>
  <c r="O51" i="3"/>
  <c r="O59" i="3" s="1"/>
  <c r="J41" i="3"/>
  <c r="O34" i="3"/>
  <c r="O41" i="3" s="1"/>
  <c r="O31" i="3"/>
  <c r="O33" i="3" s="1"/>
  <c r="J33" i="3"/>
  <c r="O60" i="3" l="1"/>
  <c r="O290" i="3" s="1"/>
  <c r="J60" i="3"/>
  <c r="J290" i="3" s="1"/>
  <c r="K10" i="1" l="1"/>
  <c r="S287" i="1"/>
  <c r="S286" i="1"/>
  <c r="S285" i="1"/>
  <c r="S284" i="1"/>
  <c r="S283" i="1"/>
  <c r="S282" i="1"/>
  <c r="S281" i="1"/>
  <c r="S280" i="1"/>
  <c r="S271" i="1"/>
  <c r="S270" i="1"/>
  <c r="S269" i="1"/>
  <c r="S268" i="1"/>
  <c r="S267" i="1"/>
  <c r="S266" i="1"/>
  <c r="S265" i="1"/>
  <c r="S264" i="1"/>
  <c r="S263" i="1"/>
  <c r="S261" i="1"/>
  <c r="S260" i="1"/>
  <c r="S259" i="1"/>
  <c r="S258" i="1"/>
  <c r="S257" i="1"/>
  <c r="S256" i="1"/>
  <c r="S255" i="1"/>
  <c r="S253" i="1"/>
  <c r="S250" i="1"/>
  <c r="S232" i="1"/>
  <c r="S218" i="1"/>
  <c r="S217" i="1"/>
  <c r="S216" i="1"/>
  <c r="S215" i="1"/>
  <c r="S214" i="1"/>
  <c r="S213" i="1"/>
  <c r="S212" i="1"/>
  <c r="S209" i="1"/>
  <c r="S208" i="1"/>
  <c r="S207" i="1"/>
  <c r="S206" i="1"/>
  <c r="S201" i="1"/>
  <c r="S200" i="1"/>
  <c r="S199" i="1"/>
  <c r="S197" i="1"/>
  <c r="S192" i="1"/>
  <c r="S191" i="1"/>
  <c r="S185" i="1"/>
  <c r="S177" i="1"/>
  <c r="S173" i="1"/>
  <c r="S168" i="1"/>
  <c r="S155" i="1"/>
  <c r="S151" i="1"/>
  <c r="S150" i="1"/>
  <c r="S143" i="1"/>
  <c r="S127" i="1"/>
  <c r="S112" i="1"/>
  <c r="S111" i="1"/>
  <c r="S110" i="1"/>
  <c r="S109" i="1"/>
  <c r="S108" i="1"/>
  <c r="S107" i="1"/>
  <c r="S106" i="1"/>
  <c r="S104" i="1"/>
  <c r="S95" i="1"/>
  <c r="S94" i="1"/>
  <c r="S93" i="1"/>
  <c r="S92" i="1"/>
  <c r="S91" i="1"/>
  <c r="S90" i="1"/>
  <c r="S89" i="1"/>
  <c r="S88" i="1"/>
  <c r="S77" i="1"/>
  <c r="S76" i="1"/>
  <c r="S75" i="1"/>
  <c r="S74" i="1"/>
  <c r="S73" i="1"/>
  <c r="S72" i="1"/>
  <c r="S71" i="1"/>
  <c r="S70" i="1"/>
  <c r="S61" i="1"/>
  <c r="S49" i="1"/>
  <c r="S48" i="1"/>
  <c r="S47" i="1"/>
  <c r="S46" i="1"/>
  <c r="S45" i="1"/>
  <c r="S44" i="1"/>
  <c r="S43" i="1"/>
  <c r="S42" i="1"/>
  <c r="S35" i="1"/>
  <c r="S20" i="1"/>
  <c r="S19" i="1"/>
  <c r="S16" i="1"/>
  <c r="S15" i="1"/>
  <c r="S14" i="1"/>
  <c r="S13" i="1"/>
  <c r="S12" i="1"/>
  <c r="S11" i="1"/>
  <c r="S6" i="1"/>
  <c r="S7" i="1"/>
  <c r="S8" i="1"/>
  <c r="S9" i="1"/>
  <c r="K288" i="1"/>
  <c r="M288" i="1"/>
  <c r="O288" i="1"/>
  <c r="R288" i="1"/>
  <c r="K279" i="1"/>
  <c r="M279" i="1"/>
  <c r="O279" i="1"/>
  <c r="R279" i="1"/>
  <c r="K272" i="1"/>
  <c r="M272" i="1"/>
  <c r="O272" i="1"/>
  <c r="R272" i="1"/>
  <c r="K262" i="1"/>
  <c r="M262" i="1"/>
  <c r="O262" i="1"/>
  <c r="R262" i="1"/>
  <c r="K254" i="1"/>
  <c r="M254" i="1"/>
  <c r="O254" i="1"/>
  <c r="R254" i="1"/>
  <c r="K246" i="1"/>
  <c r="M246" i="1"/>
  <c r="O246" i="1"/>
  <c r="R246" i="1"/>
  <c r="K237" i="1"/>
  <c r="M237" i="1"/>
  <c r="O237" i="1"/>
  <c r="R237" i="1"/>
  <c r="K228" i="1"/>
  <c r="M228" i="1"/>
  <c r="O228" i="1"/>
  <c r="R228" i="1"/>
  <c r="K219" i="1"/>
  <c r="M219" i="1"/>
  <c r="O219" i="1"/>
  <c r="R219" i="1"/>
  <c r="K211" i="1"/>
  <c r="M211" i="1"/>
  <c r="O211" i="1"/>
  <c r="R211" i="1"/>
  <c r="K202" i="1"/>
  <c r="M202" i="1"/>
  <c r="O202" i="1"/>
  <c r="R202" i="1"/>
  <c r="K193" i="1"/>
  <c r="M193" i="1"/>
  <c r="O193" i="1"/>
  <c r="R193" i="1"/>
  <c r="K184" i="1"/>
  <c r="M184" i="1"/>
  <c r="O184" i="1"/>
  <c r="R184" i="1"/>
  <c r="K175" i="1"/>
  <c r="M175" i="1"/>
  <c r="O175" i="1"/>
  <c r="R175" i="1"/>
  <c r="K166" i="1"/>
  <c r="M166" i="1"/>
  <c r="O166" i="1"/>
  <c r="R166" i="1"/>
  <c r="K157" i="1"/>
  <c r="M157" i="1"/>
  <c r="O157" i="1"/>
  <c r="R157" i="1"/>
  <c r="K149" i="1"/>
  <c r="M149" i="1"/>
  <c r="O149" i="1"/>
  <c r="R149" i="1"/>
  <c r="K140" i="1"/>
  <c r="M140" i="1"/>
  <c r="O140" i="1"/>
  <c r="R140" i="1"/>
  <c r="K131" i="1"/>
  <c r="M131" i="1"/>
  <c r="O131" i="1"/>
  <c r="R131" i="1"/>
  <c r="K122" i="1"/>
  <c r="M122" i="1"/>
  <c r="O122" i="1"/>
  <c r="R122" i="1"/>
  <c r="K113" i="1"/>
  <c r="M113" i="1"/>
  <c r="O113" i="1"/>
  <c r="R113" i="1"/>
  <c r="M105" i="1"/>
  <c r="K105" i="1"/>
  <c r="O105" i="1"/>
  <c r="R105" i="1"/>
  <c r="K96" i="1"/>
  <c r="M96" i="1"/>
  <c r="O96" i="1"/>
  <c r="R96" i="1"/>
  <c r="K87" i="1"/>
  <c r="M87" i="1"/>
  <c r="O87" i="1"/>
  <c r="R87" i="1"/>
  <c r="K78" i="1"/>
  <c r="M78" i="1"/>
  <c r="O78" i="1"/>
  <c r="R78" i="1"/>
  <c r="K69" i="1"/>
  <c r="M69" i="1"/>
  <c r="O69" i="1"/>
  <c r="R69" i="1"/>
  <c r="K59" i="1"/>
  <c r="M59" i="1"/>
  <c r="O59" i="1"/>
  <c r="R59" i="1"/>
  <c r="K50" i="1"/>
  <c r="M50" i="1"/>
  <c r="O50" i="1"/>
  <c r="R50" i="1"/>
  <c r="K41" i="1"/>
  <c r="M41" i="1"/>
  <c r="O41" i="1"/>
  <c r="R41" i="1"/>
  <c r="K33" i="1"/>
  <c r="M33" i="1"/>
  <c r="O33" i="1"/>
  <c r="R33" i="1"/>
  <c r="K25" i="1"/>
  <c r="M25" i="1"/>
  <c r="O25" i="1"/>
  <c r="R25" i="1"/>
  <c r="K17" i="1"/>
  <c r="M17" i="1"/>
  <c r="O17" i="1"/>
  <c r="R17" i="1"/>
  <c r="M10" i="1"/>
  <c r="O10" i="1"/>
  <c r="R10" i="1"/>
  <c r="F288" i="1"/>
  <c r="F279" i="1"/>
  <c r="H279" i="1" s="1"/>
  <c r="I279" i="1" s="1"/>
  <c r="F272" i="1"/>
  <c r="F262" i="1"/>
  <c r="F254" i="1"/>
  <c r="F246" i="1"/>
  <c r="F237" i="1"/>
  <c r="F228" i="1"/>
  <c r="F219" i="1"/>
  <c r="F211" i="1"/>
  <c r="F202" i="1"/>
  <c r="F193" i="1"/>
  <c r="H193" i="1" s="1"/>
  <c r="I193" i="1" s="1"/>
  <c r="F184" i="1"/>
  <c r="F175" i="1"/>
  <c r="H175" i="1" s="1"/>
  <c r="I175" i="1" s="1"/>
  <c r="F166" i="1"/>
  <c r="F157" i="1"/>
  <c r="F149" i="1"/>
  <c r="F140" i="1"/>
  <c r="F131" i="1"/>
  <c r="F122" i="1"/>
  <c r="F113" i="1"/>
  <c r="F105" i="1"/>
  <c r="F96" i="1"/>
  <c r="F87" i="1"/>
  <c r="H87" i="1" s="1"/>
  <c r="I87" i="1" s="1"/>
  <c r="F78" i="1"/>
  <c r="F69" i="1"/>
  <c r="H69" i="1" s="1"/>
  <c r="I69" i="1" s="1"/>
  <c r="F59" i="1"/>
  <c r="F50" i="1"/>
  <c r="F41" i="1"/>
  <c r="F33" i="1"/>
  <c r="F25" i="1"/>
  <c r="F17" i="1"/>
  <c r="F10" i="1"/>
  <c r="H4" i="1"/>
  <c r="I4" i="1" s="1"/>
  <c r="J4" i="1" s="1"/>
  <c r="H5" i="1"/>
  <c r="I5" i="1" s="1"/>
  <c r="J5" i="1" s="1"/>
  <c r="H6" i="1"/>
  <c r="I6" i="1" s="1"/>
  <c r="H7" i="1"/>
  <c r="I7" i="1" s="1"/>
  <c r="H8" i="1"/>
  <c r="I8" i="1" s="1"/>
  <c r="H9" i="1"/>
  <c r="I9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J17" i="1" s="1"/>
  <c r="Q17" i="1" s="1"/>
  <c r="H18" i="1"/>
  <c r="I18" i="1" s="1"/>
  <c r="H19" i="1"/>
  <c r="I19" i="1" s="1"/>
  <c r="H20" i="1"/>
  <c r="I20" i="1" s="1"/>
  <c r="H21" i="1"/>
  <c r="I21" i="1" s="1"/>
  <c r="J21" i="1" s="1"/>
  <c r="H22" i="1"/>
  <c r="I22" i="1" s="1"/>
  <c r="J22" i="1" s="1"/>
  <c r="H23" i="1"/>
  <c r="I23" i="1" s="1"/>
  <c r="J23" i="1" s="1"/>
  <c r="H24" i="1"/>
  <c r="I24" i="1" s="1"/>
  <c r="J24" i="1" s="1"/>
  <c r="H26" i="1"/>
  <c r="I26" i="1" s="1"/>
  <c r="J26" i="1" s="1"/>
  <c r="H27" i="1"/>
  <c r="I27" i="1" s="1"/>
  <c r="J27" i="1" s="1"/>
  <c r="H28" i="1"/>
  <c r="I28" i="1" s="1"/>
  <c r="J28" i="1" s="1"/>
  <c r="H29" i="1"/>
  <c r="I29" i="1" s="1"/>
  <c r="J29" i="1" s="1"/>
  <c r="H30" i="1"/>
  <c r="I30" i="1" s="1"/>
  <c r="J30" i="1" s="1"/>
  <c r="H31" i="1"/>
  <c r="H32" i="1"/>
  <c r="I32" i="1" s="1"/>
  <c r="J32" i="1" s="1"/>
  <c r="H34" i="1"/>
  <c r="H35" i="1"/>
  <c r="I35" i="1" s="1"/>
  <c r="H36" i="1"/>
  <c r="H37" i="1"/>
  <c r="H38" i="1"/>
  <c r="H39" i="1"/>
  <c r="H40" i="1"/>
  <c r="I40" i="1" s="1"/>
  <c r="J40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1" i="1"/>
  <c r="H52" i="1"/>
  <c r="H53" i="1"/>
  <c r="I53" i="1" s="1"/>
  <c r="J53" i="1" s="1"/>
  <c r="H54" i="1"/>
  <c r="H55" i="1"/>
  <c r="H56" i="1"/>
  <c r="I56" i="1" s="1"/>
  <c r="J56" i="1" s="1"/>
  <c r="H57" i="1"/>
  <c r="H58" i="1"/>
  <c r="I58" i="1" s="1"/>
  <c r="J58" i="1" s="1"/>
  <c r="H61" i="1"/>
  <c r="I61" i="1" s="1"/>
  <c r="H62" i="1"/>
  <c r="I62" i="1" s="1"/>
  <c r="J62" i="1" s="1"/>
  <c r="H63" i="1"/>
  <c r="I63" i="1" s="1"/>
  <c r="J63" i="1" s="1"/>
  <c r="H64" i="1"/>
  <c r="I64" i="1" s="1"/>
  <c r="J64" i="1" s="1"/>
  <c r="H65" i="1"/>
  <c r="I65" i="1" s="1"/>
  <c r="J65" i="1" s="1"/>
  <c r="H66" i="1"/>
  <c r="I66" i="1" s="1"/>
  <c r="J66" i="1" s="1"/>
  <c r="H67" i="1"/>
  <c r="I67" i="1" s="1"/>
  <c r="J67" i="1" s="1"/>
  <c r="H68" i="1"/>
  <c r="I68" i="1" s="1"/>
  <c r="J68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9" i="1"/>
  <c r="I79" i="1" s="1"/>
  <c r="J79" i="1" s="1"/>
  <c r="H80" i="1"/>
  <c r="I80" i="1" s="1"/>
  <c r="J80" i="1" s="1"/>
  <c r="H81" i="1"/>
  <c r="I81" i="1" s="1"/>
  <c r="J81" i="1" s="1"/>
  <c r="H82" i="1"/>
  <c r="I82" i="1" s="1"/>
  <c r="J82" i="1" s="1"/>
  <c r="H83" i="1"/>
  <c r="I83" i="1" s="1"/>
  <c r="J83" i="1" s="1"/>
  <c r="H84" i="1"/>
  <c r="I84" i="1" s="1"/>
  <c r="J84" i="1" s="1"/>
  <c r="H85" i="1"/>
  <c r="I85" i="1" s="1"/>
  <c r="J85" i="1" s="1"/>
  <c r="H86" i="1"/>
  <c r="I86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7" i="1"/>
  <c r="I97" i="1" s="1"/>
  <c r="J97" i="1" s="1"/>
  <c r="H98" i="1"/>
  <c r="I98" i="1" s="1"/>
  <c r="J98" i="1" s="1"/>
  <c r="H99" i="1"/>
  <c r="I99" i="1" s="1"/>
  <c r="J99" i="1" s="1"/>
  <c r="H100" i="1"/>
  <c r="I100" i="1" s="1"/>
  <c r="J100" i="1" s="1"/>
  <c r="H101" i="1"/>
  <c r="I101" i="1" s="1"/>
  <c r="J101" i="1" s="1"/>
  <c r="H102" i="1"/>
  <c r="I102" i="1" s="1"/>
  <c r="J102" i="1" s="1"/>
  <c r="H103" i="1"/>
  <c r="I103" i="1" s="1"/>
  <c r="J103" i="1" s="1"/>
  <c r="H104" i="1"/>
  <c r="I104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5" i="1"/>
  <c r="I115" i="1" s="1"/>
  <c r="J115" i="1" s="1"/>
  <c r="H116" i="1"/>
  <c r="I116" i="1" s="1"/>
  <c r="J116" i="1" s="1"/>
  <c r="H117" i="1"/>
  <c r="I117" i="1" s="1"/>
  <c r="J117" i="1" s="1"/>
  <c r="H118" i="1"/>
  <c r="I118" i="1" s="1"/>
  <c r="J118" i="1" s="1"/>
  <c r="H119" i="1"/>
  <c r="I119" i="1" s="1"/>
  <c r="J119" i="1" s="1"/>
  <c r="H120" i="1"/>
  <c r="I120" i="1" s="1"/>
  <c r="J120" i="1" s="1"/>
  <c r="H121" i="1"/>
  <c r="I121" i="1" s="1"/>
  <c r="J121" i="1" s="1"/>
  <c r="H123" i="1"/>
  <c r="I123" i="1" s="1"/>
  <c r="J123" i="1" s="1"/>
  <c r="H124" i="1"/>
  <c r="I124" i="1" s="1"/>
  <c r="J124" i="1" s="1"/>
  <c r="H125" i="1"/>
  <c r="I125" i="1" s="1"/>
  <c r="J125" i="1" s="1"/>
  <c r="H126" i="1"/>
  <c r="I126" i="1" s="1"/>
  <c r="J126" i="1" s="1"/>
  <c r="H127" i="1"/>
  <c r="I127" i="1" s="1"/>
  <c r="H128" i="1"/>
  <c r="I128" i="1" s="1"/>
  <c r="J128" i="1" s="1"/>
  <c r="H129" i="1"/>
  <c r="I129" i="1" s="1"/>
  <c r="J129" i="1" s="1"/>
  <c r="H130" i="1"/>
  <c r="I130" i="1" s="1"/>
  <c r="J130" i="1" s="1"/>
  <c r="H132" i="1"/>
  <c r="I132" i="1" s="1"/>
  <c r="J132" i="1" s="1"/>
  <c r="H133" i="1"/>
  <c r="I133" i="1" s="1"/>
  <c r="J133" i="1" s="1"/>
  <c r="H134" i="1"/>
  <c r="I134" i="1" s="1"/>
  <c r="J134" i="1" s="1"/>
  <c r="H135" i="1"/>
  <c r="I135" i="1" s="1"/>
  <c r="J135" i="1" s="1"/>
  <c r="H136" i="1"/>
  <c r="I136" i="1" s="1"/>
  <c r="J136" i="1" s="1"/>
  <c r="H137" i="1"/>
  <c r="I137" i="1" s="1"/>
  <c r="J137" i="1" s="1"/>
  <c r="H138" i="1"/>
  <c r="I138" i="1" s="1"/>
  <c r="J138" i="1" s="1"/>
  <c r="H139" i="1"/>
  <c r="I139" i="1" s="1"/>
  <c r="J139" i="1" s="1"/>
  <c r="H141" i="1"/>
  <c r="I141" i="1" s="1"/>
  <c r="J141" i="1" s="1"/>
  <c r="H142" i="1"/>
  <c r="I142" i="1" s="1"/>
  <c r="J142" i="1" s="1"/>
  <c r="H143" i="1"/>
  <c r="I143" i="1" s="1"/>
  <c r="H144" i="1"/>
  <c r="I144" i="1" s="1"/>
  <c r="J144" i="1" s="1"/>
  <c r="H145" i="1"/>
  <c r="I145" i="1" s="1"/>
  <c r="J145" i="1" s="1"/>
  <c r="H146" i="1"/>
  <c r="I146" i="1" s="1"/>
  <c r="J146" i="1" s="1"/>
  <c r="H147" i="1"/>
  <c r="I147" i="1" s="1"/>
  <c r="J147" i="1" s="1"/>
  <c r="H148" i="1"/>
  <c r="I148" i="1" s="1"/>
  <c r="J148" i="1" s="1"/>
  <c r="H150" i="1"/>
  <c r="I150" i="1" s="1"/>
  <c r="H151" i="1"/>
  <c r="I151" i="1" s="1"/>
  <c r="H152" i="1"/>
  <c r="I152" i="1" s="1"/>
  <c r="J152" i="1" s="1"/>
  <c r="H153" i="1"/>
  <c r="I153" i="1" s="1"/>
  <c r="J153" i="1" s="1"/>
  <c r="H154" i="1"/>
  <c r="I154" i="1" s="1"/>
  <c r="J154" i="1" s="1"/>
  <c r="H155" i="1"/>
  <c r="I155" i="1" s="1"/>
  <c r="H156" i="1"/>
  <c r="I156" i="1" s="1"/>
  <c r="J156" i="1" s="1"/>
  <c r="H158" i="1"/>
  <c r="I158" i="1" s="1"/>
  <c r="H159" i="1"/>
  <c r="I159" i="1" s="1"/>
  <c r="J159" i="1" s="1"/>
  <c r="H160" i="1"/>
  <c r="I160" i="1" s="1"/>
  <c r="J160" i="1" s="1"/>
  <c r="H161" i="1"/>
  <c r="I161" i="1" s="1"/>
  <c r="J161" i="1" s="1"/>
  <c r="H162" i="1"/>
  <c r="I162" i="1" s="1"/>
  <c r="J162" i="1" s="1"/>
  <c r="H163" i="1"/>
  <c r="I163" i="1" s="1"/>
  <c r="J163" i="1" s="1"/>
  <c r="H164" i="1"/>
  <c r="I164" i="1" s="1"/>
  <c r="J164" i="1" s="1"/>
  <c r="H165" i="1"/>
  <c r="I165" i="1" s="1"/>
  <c r="J165" i="1" s="1"/>
  <c r="H167" i="1"/>
  <c r="I167" i="1" s="1"/>
  <c r="J167" i="1" s="1"/>
  <c r="H168" i="1"/>
  <c r="I168" i="1" s="1"/>
  <c r="H169" i="1"/>
  <c r="I169" i="1" s="1"/>
  <c r="J169" i="1" s="1"/>
  <c r="H170" i="1"/>
  <c r="I170" i="1" s="1"/>
  <c r="J170" i="1" s="1"/>
  <c r="H171" i="1"/>
  <c r="I171" i="1" s="1"/>
  <c r="J171" i="1" s="1"/>
  <c r="H172" i="1"/>
  <c r="I172" i="1" s="1"/>
  <c r="J172" i="1" s="1"/>
  <c r="H173" i="1"/>
  <c r="I173" i="1" s="1"/>
  <c r="H174" i="1"/>
  <c r="I174" i="1" s="1"/>
  <c r="J174" i="1" s="1"/>
  <c r="H177" i="1"/>
  <c r="I177" i="1" s="1"/>
  <c r="H178" i="1"/>
  <c r="I178" i="1" s="1"/>
  <c r="J178" i="1" s="1"/>
  <c r="H179" i="1"/>
  <c r="I179" i="1" s="1"/>
  <c r="J179" i="1" s="1"/>
  <c r="H180" i="1"/>
  <c r="I180" i="1" s="1"/>
  <c r="J180" i="1" s="1"/>
  <c r="H181" i="1"/>
  <c r="I181" i="1" s="1"/>
  <c r="J181" i="1" s="1"/>
  <c r="H182" i="1"/>
  <c r="I182" i="1" s="1"/>
  <c r="J182" i="1" s="1"/>
  <c r="H183" i="1"/>
  <c r="I183" i="1" s="1"/>
  <c r="J183" i="1" s="1"/>
  <c r="H185" i="1"/>
  <c r="I185" i="1" s="1"/>
  <c r="H186" i="1"/>
  <c r="I186" i="1" s="1"/>
  <c r="H187" i="1"/>
  <c r="I187" i="1" s="1"/>
  <c r="J187" i="1" s="1"/>
  <c r="H188" i="1"/>
  <c r="I188" i="1" s="1"/>
  <c r="J188" i="1" s="1"/>
  <c r="H189" i="1"/>
  <c r="I189" i="1" s="1"/>
  <c r="J189" i="1" s="1"/>
  <c r="H190" i="1"/>
  <c r="I190" i="1" s="1"/>
  <c r="J190" i="1" s="1"/>
  <c r="H191" i="1"/>
  <c r="I191" i="1" s="1"/>
  <c r="H192" i="1"/>
  <c r="I192" i="1" s="1"/>
  <c r="H194" i="1"/>
  <c r="I194" i="1" s="1"/>
  <c r="J194" i="1" s="1"/>
  <c r="H195" i="1"/>
  <c r="I195" i="1" s="1"/>
  <c r="J195" i="1" s="1"/>
  <c r="H196" i="1"/>
  <c r="I196" i="1" s="1"/>
  <c r="J196" i="1" s="1"/>
  <c r="H197" i="1"/>
  <c r="I197" i="1" s="1"/>
  <c r="H198" i="1"/>
  <c r="I198" i="1" s="1"/>
  <c r="J198" i="1" s="1"/>
  <c r="H199" i="1"/>
  <c r="I199" i="1" s="1"/>
  <c r="H200" i="1"/>
  <c r="I200" i="1" s="1"/>
  <c r="H201" i="1"/>
  <c r="I201" i="1" s="1"/>
  <c r="H203" i="1"/>
  <c r="I203" i="1" s="1"/>
  <c r="J203" i="1" s="1"/>
  <c r="H204" i="1"/>
  <c r="I204" i="1" s="1"/>
  <c r="J204" i="1" s="1"/>
  <c r="H205" i="1"/>
  <c r="I205" i="1" s="1"/>
  <c r="J205" i="1" s="1"/>
  <c r="H206" i="1"/>
  <c r="I206" i="1" s="1"/>
  <c r="H207" i="1"/>
  <c r="I207" i="1" s="1"/>
  <c r="H208" i="1"/>
  <c r="I208" i="1" s="1"/>
  <c r="H209" i="1"/>
  <c r="I209" i="1" s="1"/>
  <c r="H210" i="1"/>
  <c r="I210" i="1" s="1"/>
  <c r="J210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20" i="1"/>
  <c r="I220" i="1" s="1"/>
  <c r="J220" i="1" s="1"/>
  <c r="H221" i="1"/>
  <c r="I221" i="1" s="1"/>
  <c r="J221" i="1" s="1"/>
  <c r="H222" i="1"/>
  <c r="I222" i="1" s="1"/>
  <c r="J222" i="1" s="1"/>
  <c r="H223" i="1"/>
  <c r="I223" i="1" s="1"/>
  <c r="J223" i="1" s="1"/>
  <c r="H224" i="1"/>
  <c r="I224" i="1" s="1"/>
  <c r="J224" i="1" s="1"/>
  <c r="H225" i="1"/>
  <c r="I225" i="1" s="1"/>
  <c r="J225" i="1" s="1"/>
  <c r="H226" i="1"/>
  <c r="I226" i="1" s="1"/>
  <c r="J226" i="1" s="1"/>
  <c r="H227" i="1"/>
  <c r="I227" i="1" s="1"/>
  <c r="J227" i="1" s="1"/>
  <c r="H230" i="1"/>
  <c r="I230" i="1" s="1"/>
  <c r="J230" i="1" s="1"/>
  <c r="H231" i="1"/>
  <c r="I231" i="1" s="1"/>
  <c r="J231" i="1" s="1"/>
  <c r="H232" i="1"/>
  <c r="I232" i="1" s="1"/>
  <c r="H233" i="1"/>
  <c r="I233" i="1" s="1"/>
  <c r="J233" i="1" s="1"/>
  <c r="H234" i="1"/>
  <c r="I234" i="1" s="1"/>
  <c r="J234" i="1" s="1"/>
  <c r="H235" i="1"/>
  <c r="I235" i="1" s="1"/>
  <c r="J235" i="1" s="1"/>
  <c r="H236" i="1"/>
  <c r="I236" i="1" s="1"/>
  <c r="J236" i="1" s="1"/>
  <c r="H238" i="1"/>
  <c r="I238" i="1" s="1"/>
  <c r="J238" i="1" s="1"/>
  <c r="H239" i="1"/>
  <c r="I239" i="1" s="1"/>
  <c r="J239" i="1" s="1"/>
  <c r="H240" i="1"/>
  <c r="I240" i="1" s="1"/>
  <c r="J240" i="1" s="1"/>
  <c r="H241" i="1"/>
  <c r="I241" i="1" s="1"/>
  <c r="J241" i="1" s="1"/>
  <c r="H242" i="1"/>
  <c r="I242" i="1" s="1"/>
  <c r="J242" i="1" s="1"/>
  <c r="H243" i="1"/>
  <c r="I243" i="1" s="1"/>
  <c r="J243" i="1" s="1"/>
  <c r="H244" i="1"/>
  <c r="I244" i="1" s="1"/>
  <c r="J244" i="1" s="1"/>
  <c r="H245" i="1"/>
  <c r="I245" i="1" s="1"/>
  <c r="J245" i="1" s="1"/>
  <c r="H247" i="1"/>
  <c r="I247" i="1" s="1"/>
  <c r="J247" i="1" s="1"/>
  <c r="H248" i="1"/>
  <c r="I248" i="1" s="1"/>
  <c r="J248" i="1" s="1"/>
  <c r="H249" i="1"/>
  <c r="I249" i="1" s="1"/>
  <c r="J249" i="1" s="1"/>
  <c r="H250" i="1"/>
  <c r="I250" i="1" s="1"/>
  <c r="H251" i="1"/>
  <c r="I251" i="1" s="1"/>
  <c r="J251" i="1" s="1"/>
  <c r="H252" i="1"/>
  <c r="I252" i="1" s="1"/>
  <c r="J252" i="1" s="1"/>
  <c r="H253" i="1"/>
  <c r="I253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3" i="1"/>
  <c r="I273" i="1" s="1"/>
  <c r="J273" i="1" s="1"/>
  <c r="H274" i="1"/>
  <c r="I274" i="1" s="1"/>
  <c r="J274" i="1" s="1"/>
  <c r="H275" i="1"/>
  <c r="I275" i="1" s="1"/>
  <c r="J275" i="1" s="1"/>
  <c r="H276" i="1"/>
  <c r="I276" i="1" s="1"/>
  <c r="J276" i="1" s="1"/>
  <c r="H277" i="1"/>
  <c r="I277" i="1" s="1"/>
  <c r="J277" i="1" s="1"/>
  <c r="H278" i="1"/>
  <c r="I278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3" i="1"/>
  <c r="I3" i="1" s="1"/>
  <c r="S277" i="1" l="1"/>
  <c r="Q277" i="1"/>
  <c r="S276" i="1"/>
  <c r="Q276" i="1"/>
  <c r="S275" i="1"/>
  <c r="Q275" i="1"/>
  <c r="S274" i="1"/>
  <c r="Q274" i="1"/>
  <c r="S273" i="1"/>
  <c r="Q273" i="1"/>
  <c r="S252" i="1"/>
  <c r="Q252" i="1"/>
  <c r="S251" i="1"/>
  <c r="Q251" i="1"/>
  <c r="S249" i="1"/>
  <c r="Q249" i="1"/>
  <c r="S248" i="1"/>
  <c r="Q248" i="1"/>
  <c r="S247" i="1"/>
  <c r="Q247" i="1"/>
  <c r="S245" i="1"/>
  <c r="Q245" i="1"/>
  <c r="S244" i="1"/>
  <c r="Q244" i="1"/>
  <c r="S243" i="1"/>
  <c r="Q243" i="1"/>
  <c r="S242" i="1"/>
  <c r="Q242" i="1"/>
  <c r="S241" i="1"/>
  <c r="Q241" i="1"/>
  <c r="S240" i="1"/>
  <c r="Q240" i="1"/>
  <c r="S239" i="1"/>
  <c r="Q239" i="1"/>
  <c r="S238" i="1"/>
  <c r="Q238" i="1"/>
  <c r="S236" i="1"/>
  <c r="Q236" i="1"/>
  <c r="S235" i="1"/>
  <c r="Q235" i="1"/>
  <c r="S234" i="1"/>
  <c r="Q234" i="1"/>
  <c r="S233" i="1"/>
  <c r="Q233" i="1"/>
  <c r="S231" i="1"/>
  <c r="Q231" i="1"/>
  <c r="S230" i="1"/>
  <c r="Q230" i="1"/>
  <c r="S227" i="1"/>
  <c r="Q227" i="1"/>
  <c r="S226" i="1"/>
  <c r="Q226" i="1"/>
  <c r="S225" i="1"/>
  <c r="Q225" i="1"/>
  <c r="S224" i="1"/>
  <c r="Q224" i="1"/>
  <c r="S223" i="1"/>
  <c r="Q223" i="1"/>
  <c r="S222" i="1"/>
  <c r="Q222" i="1"/>
  <c r="S221" i="1"/>
  <c r="Q221" i="1"/>
  <c r="S220" i="1"/>
  <c r="Q220" i="1"/>
  <c r="S210" i="1"/>
  <c r="Q210" i="1"/>
  <c r="S205" i="1"/>
  <c r="Q205" i="1"/>
  <c r="S204" i="1"/>
  <c r="Q204" i="1"/>
  <c r="S203" i="1"/>
  <c r="Q203" i="1"/>
  <c r="S198" i="1"/>
  <c r="Q198" i="1"/>
  <c r="S196" i="1"/>
  <c r="Q196" i="1"/>
  <c r="S195" i="1"/>
  <c r="Q195" i="1"/>
  <c r="S194" i="1"/>
  <c r="Q194" i="1"/>
  <c r="S190" i="1"/>
  <c r="Q190" i="1"/>
  <c r="S189" i="1"/>
  <c r="Q189" i="1"/>
  <c r="S188" i="1"/>
  <c r="Q188" i="1"/>
  <c r="S187" i="1"/>
  <c r="Q187" i="1"/>
  <c r="S183" i="1"/>
  <c r="Q183" i="1"/>
  <c r="S182" i="1"/>
  <c r="Q182" i="1"/>
  <c r="S181" i="1"/>
  <c r="Q181" i="1"/>
  <c r="S180" i="1"/>
  <c r="Q180" i="1"/>
  <c r="S179" i="1"/>
  <c r="Q179" i="1"/>
  <c r="S178" i="1"/>
  <c r="Q178" i="1"/>
  <c r="S174" i="1"/>
  <c r="Q174" i="1"/>
  <c r="S172" i="1"/>
  <c r="Q172" i="1"/>
  <c r="S171" i="1"/>
  <c r="Q171" i="1"/>
  <c r="S170" i="1"/>
  <c r="Q170" i="1"/>
  <c r="S169" i="1"/>
  <c r="Q169" i="1"/>
  <c r="S167" i="1"/>
  <c r="Q167" i="1"/>
  <c r="S165" i="1"/>
  <c r="Q165" i="1"/>
  <c r="S164" i="1"/>
  <c r="Q164" i="1"/>
  <c r="S163" i="1"/>
  <c r="Q163" i="1"/>
  <c r="S162" i="1"/>
  <c r="Q162" i="1"/>
  <c r="S161" i="1"/>
  <c r="Q161" i="1"/>
  <c r="S160" i="1"/>
  <c r="Q160" i="1"/>
  <c r="S159" i="1"/>
  <c r="Q159" i="1"/>
  <c r="S156" i="1"/>
  <c r="Q156" i="1"/>
  <c r="S154" i="1"/>
  <c r="Q154" i="1"/>
  <c r="S153" i="1"/>
  <c r="Q153" i="1"/>
  <c r="S152" i="1"/>
  <c r="Q152" i="1"/>
  <c r="S148" i="1"/>
  <c r="Q148" i="1"/>
  <c r="S147" i="1"/>
  <c r="Q147" i="1"/>
  <c r="S146" i="1"/>
  <c r="Q146" i="1"/>
  <c r="S145" i="1"/>
  <c r="Q145" i="1"/>
  <c r="S144" i="1"/>
  <c r="Q144" i="1"/>
  <c r="S142" i="1"/>
  <c r="Q142" i="1"/>
  <c r="S141" i="1"/>
  <c r="Q141" i="1"/>
  <c r="S139" i="1"/>
  <c r="Q139" i="1"/>
  <c r="S138" i="1"/>
  <c r="Q138" i="1"/>
  <c r="S137" i="1"/>
  <c r="Q137" i="1"/>
  <c r="S136" i="1"/>
  <c r="Q136" i="1"/>
  <c r="S135" i="1"/>
  <c r="Q135" i="1"/>
  <c r="S134" i="1"/>
  <c r="Q134" i="1"/>
  <c r="S133" i="1"/>
  <c r="Q133" i="1"/>
  <c r="S132" i="1"/>
  <c r="Q132" i="1"/>
  <c r="S130" i="1"/>
  <c r="Q130" i="1"/>
  <c r="S129" i="1"/>
  <c r="Q129" i="1"/>
  <c r="S128" i="1"/>
  <c r="Q128" i="1"/>
  <c r="S126" i="1"/>
  <c r="Q126" i="1"/>
  <c r="S125" i="1"/>
  <c r="Q125" i="1"/>
  <c r="S124" i="1"/>
  <c r="Q124" i="1"/>
  <c r="S123" i="1"/>
  <c r="Q123" i="1"/>
  <c r="S121" i="1"/>
  <c r="Q121" i="1"/>
  <c r="S120" i="1"/>
  <c r="Q120" i="1"/>
  <c r="S119" i="1"/>
  <c r="Q119" i="1"/>
  <c r="S118" i="1"/>
  <c r="Q118" i="1"/>
  <c r="S117" i="1"/>
  <c r="Q117" i="1"/>
  <c r="S116" i="1"/>
  <c r="Q116" i="1"/>
  <c r="S115" i="1"/>
  <c r="Q115" i="1"/>
  <c r="S103" i="1"/>
  <c r="Q103" i="1"/>
  <c r="S102" i="1"/>
  <c r="Q102" i="1"/>
  <c r="S101" i="1"/>
  <c r="Q101" i="1"/>
  <c r="S100" i="1"/>
  <c r="Q100" i="1"/>
  <c r="S99" i="1"/>
  <c r="Q99" i="1"/>
  <c r="S98" i="1"/>
  <c r="Q98" i="1"/>
  <c r="S97" i="1"/>
  <c r="Q97" i="1"/>
  <c r="S85" i="1"/>
  <c r="Q85" i="1"/>
  <c r="S84" i="1"/>
  <c r="Q84" i="1"/>
  <c r="S83" i="1"/>
  <c r="Q83" i="1"/>
  <c r="S82" i="1"/>
  <c r="Q82" i="1"/>
  <c r="S81" i="1"/>
  <c r="Q81" i="1"/>
  <c r="S80" i="1"/>
  <c r="Q80" i="1"/>
  <c r="S79" i="1"/>
  <c r="Q79" i="1"/>
  <c r="S68" i="1"/>
  <c r="Q68" i="1"/>
  <c r="S67" i="1"/>
  <c r="Q67" i="1"/>
  <c r="S66" i="1"/>
  <c r="Q66" i="1"/>
  <c r="S65" i="1"/>
  <c r="Q65" i="1"/>
  <c r="S64" i="1"/>
  <c r="Q64" i="1"/>
  <c r="S63" i="1"/>
  <c r="Q63" i="1"/>
  <c r="S62" i="1"/>
  <c r="Q62" i="1"/>
  <c r="S58" i="1"/>
  <c r="Q58" i="1"/>
  <c r="S56" i="1"/>
  <c r="Q56" i="1"/>
  <c r="S53" i="1"/>
  <c r="Q53" i="1"/>
  <c r="S40" i="1"/>
  <c r="Q40" i="1"/>
  <c r="S32" i="1"/>
  <c r="Q32" i="1"/>
  <c r="S30" i="1"/>
  <c r="Q30" i="1"/>
  <c r="S29" i="1"/>
  <c r="Q29" i="1"/>
  <c r="S28" i="1"/>
  <c r="Q28" i="1"/>
  <c r="S27" i="1"/>
  <c r="Q27" i="1"/>
  <c r="S26" i="1"/>
  <c r="Q26" i="1"/>
  <c r="S24" i="1"/>
  <c r="Q24" i="1"/>
  <c r="S23" i="1"/>
  <c r="Q23" i="1"/>
  <c r="S22" i="1"/>
  <c r="Q22" i="1"/>
  <c r="S21" i="1"/>
  <c r="Q21" i="1"/>
  <c r="S5" i="1"/>
  <c r="Q5" i="1"/>
  <c r="S4" i="1"/>
  <c r="Q4" i="1"/>
  <c r="S78" i="1"/>
  <c r="M176" i="1"/>
  <c r="S50" i="1"/>
  <c r="S272" i="1"/>
  <c r="S228" i="1"/>
  <c r="S254" i="1"/>
  <c r="S131" i="1"/>
  <c r="S122" i="1"/>
  <c r="S10" i="1"/>
  <c r="S211" i="1"/>
  <c r="S140" i="1"/>
  <c r="J86" i="1"/>
  <c r="J18" i="1"/>
  <c r="I57" i="1"/>
  <c r="J57" i="1"/>
  <c r="J69" i="1"/>
  <c r="Q69" i="1" s="1"/>
  <c r="S69" i="1"/>
  <c r="S96" i="1"/>
  <c r="S219" i="1"/>
  <c r="S175" i="1"/>
  <c r="S149" i="1"/>
  <c r="I31" i="1"/>
  <c r="J31" i="1"/>
  <c r="S288" i="1"/>
  <c r="R114" i="1"/>
  <c r="R176" i="1"/>
  <c r="S262" i="1"/>
  <c r="J186" i="1"/>
  <c r="I34" i="1"/>
  <c r="J34" i="1"/>
  <c r="S246" i="1"/>
  <c r="J278" i="1"/>
  <c r="I55" i="1"/>
  <c r="J55" i="1"/>
  <c r="O114" i="1"/>
  <c r="O176" i="1"/>
  <c r="S202" i="1"/>
  <c r="J158" i="1"/>
  <c r="M114" i="1"/>
  <c r="I39" i="1"/>
  <c r="J39" i="1"/>
  <c r="K114" i="1"/>
  <c r="S113" i="1"/>
  <c r="I52" i="1"/>
  <c r="J52" i="1"/>
  <c r="I38" i="1"/>
  <c r="J38" i="1"/>
  <c r="S184" i="1"/>
  <c r="S105" i="1"/>
  <c r="I54" i="1"/>
  <c r="J54" i="1"/>
  <c r="S237" i="1"/>
  <c r="I51" i="1"/>
  <c r="J51" i="1"/>
  <c r="I37" i="1"/>
  <c r="J37" i="1"/>
  <c r="F60" i="1"/>
  <c r="H60" i="1" s="1"/>
  <c r="I60" i="1" s="1"/>
  <c r="S157" i="1"/>
  <c r="I36" i="1"/>
  <c r="J36" i="1"/>
  <c r="M229" i="1"/>
  <c r="K176" i="1"/>
  <c r="R229" i="1"/>
  <c r="O229" i="1"/>
  <c r="K229" i="1"/>
  <c r="R289" i="1"/>
  <c r="O289" i="1"/>
  <c r="M289" i="1"/>
  <c r="K289" i="1"/>
  <c r="S17" i="1"/>
  <c r="R60" i="1"/>
  <c r="K60" i="1"/>
  <c r="O60" i="1"/>
  <c r="M60" i="1"/>
  <c r="J219" i="1"/>
  <c r="Q219" i="1" s="1"/>
  <c r="J122" i="1"/>
  <c r="Q122" i="1" s="1"/>
  <c r="J246" i="1"/>
  <c r="Q246" i="1" s="1"/>
  <c r="J175" i="1"/>
  <c r="Q175" i="1" s="1"/>
  <c r="J202" i="1"/>
  <c r="Q202" i="1" s="1"/>
  <c r="J184" i="1"/>
  <c r="Q184" i="1" s="1"/>
  <c r="J105" i="1"/>
  <c r="Q105" i="1" s="1"/>
  <c r="J113" i="1"/>
  <c r="Q113" i="1" s="1"/>
  <c r="J96" i="1"/>
  <c r="Q96" i="1" s="1"/>
  <c r="J288" i="1"/>
  <c r="Q288" i="1" s="1"/>
  <c r="J149" i="1"/>
  <c r="Q149" i="1" s="1"/>
  <c r="J272" i="1"/>
  <c r="Q272" i="1" s="1"/>
  <c r="J211" i="1"/>
  <c r="Q211" i="1" s="1"/>
  <c r="J262" i="1"/>
  <c r="Q262" i="1" s="1"/>
  <c r="J237" i="1"/>
  <c r="Q237" i="1" s="1"/>
  <c r="J131" i="1"/>
  <c r="Q131" i="1" s="1"/>
  <c r="J10" i="1"/>
  <c r="Q10" i="1" s="1"/>
  <c r="J33" i="1"/>
  <c r="Q33" i="1" s="1"/>
  <c r="J157" i="1"/>
  <c r="Q157" i="1" s="1"/>
  <c r="J78" i="1"/>
  <c r="Q78" i="1" s="1"/>
  <c r="J228" i="1"/>
  <c r="Q228" i="1" s="1"/>
  <c r="J254" i="1"/>
  <c r="Q254" i="1" s="1"/>
  <c r="J140" i="1"/>
  <c r="Q140" i="1" s="1"/>
  <c r="J50" i="1"/>
  <c r="Q50" i="1" s="1"/>
  <c r="F229" i="1"/>
  <c r="F289" i="1"/>
  <c r="F114" i="1"/>
  <c r="F176" i="1"/>
  <c r="H96" i="1"/>
  <c r="I96" i="1" s="1"/>
  <c r="H202" i="1"/>
  <c r="I202" i="1" s="1"/>
  <c r="H105" i="1"/>
  <c r="I105" i="1" s="1"/>
  <c r="H211" i="1"/>
  <c r="I211" i="1" s="1"/>
  <c r="H33" i="1"/>
  <c r="I33" i="1" s="1"/>
  <c r="H140" i="1"/>
  <c r="I140" i="1" s="1"/>
  <c r="H246" i="1"/>
  <c r="I246" i="1" s="1"/>
  <c r="H237" i="1"/>
  <c r="I237" i="1" s="1"/>
  <c r="H228" i="1"/>
  <c r="I228" i="1" s="1"/>
  <c r="H25" i="1"/>
  <c r="I25" i="1" s="1"/>
  <c r="H131" i="1"/>
  <c r="I131" i="1" s="1"/>
  <c r="H113" i="1"/>
  <c r="I113" i="1" s="1"/>
  <c r="H122" i="1"/>
  <c r="I122" i="1" s="1"/>
  <c r="H254" i="1"/>
  <c r="I254" i="1" s="1"/>
  <c r="H157" i="1"/>
  <c r="I157" i="1" s="1"/>
  <c r="H262" i="1"/>
  <c r="I262" i="1" s="1"/>
  <c r="H149" i="1"/>
  <c r="I149" i="1" s="1"/>
  <c r="H59" i="1"/>
  <c r="I59" i="1" s="1"/>
  <c r="H272" i="1"/>
  <c r="I272" i="1" s="1"/>
  <c r="H219" i="1"/>
  <c r="I219" i="1" s="1"/>
  <c r="H50" i="1"/>
  <c r="I50" i="1" s="1"/>
  <c r="H166" i="1"/>
  <c r="I166" i="1" s="1"/>
  <c r="H10" i="1"/>
  <c r="I10" i="1" s="1"/>
  <c r="H17" i="1"/>
  <c r="I17" i="1" s="1"/>
  <c r="H41" i="1"/>
  <c r="I41" i="1" s="1"/>
  <c r="H78" i="1"/>
  <c r="I78" i="1" s="1"/>
  <c r="H184" i="1"/>
  <c r="I184" i="1" s="1"/>
  <c r="H288" i="1"/>
  <c r="I288" i="1" s="1"/>
  <c r="S36" i="1" l="1"/>
  <c r="Q36" i="1"/>
  <c r="S37" i="1"/>
  <c r="Q37" i="1"/>
  <c r="S51" i="1"/>
  <c r="Q51" i="1"/>
  <c r="S54" i="1"/>
  <c r="Q54" i="1"/>
  <c r="S38" i="1"/>
  <c r="Q38" i="1"/>
  <c r="S52" i="1"/>
  <c r="Q52" i="1"/>
  <c r="S39" i="1"/>
  <c r="Q39" i="1"/>
  <c r="S158" i="1"/>
  <c r="S166" i="1" s="1"/>
  <c r="Q158" i="1"/>
  <c r="S55" i="1"/>
  <c r="Q55" i="1"/>
  <c r="S278" i="1"/>
  <c r="S279" i="1" s="1"/>
  <c r="Q278" i="1"/>
  <c r="S34" i="1"/>
  <c r="Q34" i="1"/>
  <c r="S186" i="1"/>
  <c r="S193" i="1" s="1"/>
  <c r="Q186" i="1"/>
  <c r="S31" i="1"/>
  <c r="S33" i="1" s="1"/>
  <c r="Q31" i="1"/>
  <c r="S57" i="1"/>
  <c r="Q57" i="1"/>
  <c r="S18" i="1"/>
  <c r="S25" i="1" s="1"/>
  <c r="Q18" i="1"/>
  <c r="S86" i="1"/>
  <c r="S87" i="1" s="1"/>
  <c r="Q86" i="1"/>
  <c r="S289" i="1"/>
  <c r="S229" i="1"/>
  <c r="M290" i="1"/>
  <c r="F290" i="1"/>
  <c r="S59" i="1"/>
  <c r="O290" i="1"/>
  <c r="R290" i="1"/>
  <c r="S41" i="1"/>
  <c r="J166" i="1"/>
  <c r="J193" i="1"/>
  <c r="S114" i="1"/>
  <c r="S176" i="1"/>
  <c r="J87" i="1"/>
  <c r="K290" i="1"/>
  <c r="J59" i="1"/>
  <c r="Q59" i="1" s="1"/>
  <c r="J279" i="1"/>
  <c r="J41" i="1"/>
  <c r="Q41" i="1" s="1"/>
  <c r="J25" i="1"/>
  <c r="Q25" i="1" s="1"/>
  <c r="H114" i="1"/>
  <c r="I114" i="1" s="1"/>
  <c r="H229" i="1"/>
  <c r="I229" i="1" s="1"/>
  <c r="H176" i="1"/>
  <c r="I176" i="1" s="1"/>
  <c r="H289" i="1"/>
  <c r="I289" i="1" s="1"/>
  <c r="J289" i="1" l="1"/>
  <c r="Q289" i="1" s="1"/>
  <c r="Q279" i="1"/>
  <c r="J114" i="1"/>
  <c r="Q114" i="1" s="1"/>
  <c r="Q87" i="1"/>
  <c r="J229" i="1"/>
  <c r="Q229" i="1" s="1"/>
  <c r="Q193" i="1"/>
  <c r="J176" i="1"/>
  <c r="Q176" i="1" s="1"/>
  <c r="Q166" i="1"/>
  <c r="S60" i="1"/>
  <c r="S290" i="1" s="1"/>
  <c r="J60" i="1"/>
  <c r="H290" i="1"/>
  <c r="I290" i="1" s="1"/>
  <c r="J290" i="1" l="1"/>
  <c r="Q60" i="1"/>
</calcChain>
</file>

<file path=xl/sharedStrings.xml><?xml version="1.0" encoding="utf-8"?>
<sst xmlns="http://schemas.openxmlformats.org/spreadsheetml/2006/main" count="1258" uniqueCount="543">
  <si>
    <t>SL  NO.</t>
  </si>
  <si>
    <t>SAP
ID</t>
  </si>
  <si>
    <t>Name</t>
  </si>
  <si>
    <t>T. code</t>
  </si>
  <si>
    <t>Territory Name</t>
  </si>
  <si>
    <t>Baraiyerhat-1</t>
  </si>
  <si>
    <t>Baraiyerhat-2</t>
  </si>
  <si>
    <t>Baraiyerhat-3</t>
  </si>
  <si>
    <t>Baraiyerhat-4</t>
  </si>
  <si>
    <t>Jorargonj-1</t>
  </si>
  <si>
    <t>Ramgarh-1</t>
  </si>
  <si>
    <t>Ramgarh-2</t>
  </si>
  <si>
    <t/>
  </si>
  <si>
    <t>Baraiyerhat GEN-A-1</t>
  </si>
  <si>
    <t>Sandwip-1</t>
  </si>
  <si>
    <t>Sandwip-2</t>
  </si>
  <si>
    <t>Sandwip-3</t>
  </si>
  <si>
    <t>Sandwip-4</t>
  </si>
  <si>
    <t>Sandwip-5</t>
  </si>
  <si>
    <t>Kumira-1</t>
  </si>
  <si>
    <t>Sandwip GEN-A-1</t>
  </si>
  <si>
    <t>Sitakundu-1</t>
  </si>
  <si>
    <t>Sitakundu-2</t>
  </si>
  <si>
    <t>Sitakundu-3</t>
  </si>
  <si>
    <t>Sitakundu-4</t>
  </si>
  <si>
    <t>Mirsorai-1</t>
  </si>
  <si>
    <t>Mirsorai-2</t>
  </si>
  <si>
    <t>Mithachora-1</t>
  </si>
  <si>
    <t>Sitakundu GEN-A-1</t>
  </si>
  <si>
    <t>Bhatiary-1</t>
  </si>
  <si>
    <t>CTG (Alongker)-1</t>
  </si>
  <si>
    <t>CTG (Colonel Hat)-1</t>
  </si>
  <si>
    <t>CTG (Colonel Hat)-2</t>
  </si>
  <si>
    <t>CTG (Diabetic)-1</t>
  </si>
  <si>
    <t>CTG (Diabetic)-2</t>
  </si>
  <si>
    <t>CTG (USTC)-1</t>
  </si>
  <si>
    <t>Chattogram GEN-A-8</t>
  </si>
  <si>
    <t>CTG (Halishahar)-1</t>
  </si>
  <si>
    <t>CTG (Halishahar)-2</t>
  </si>
  <si>
    <t>CTG (DT Road)</t>
  </si>
  <si>
    <t>CTG (IBH)-1</t>
  </si>
  <si>
    <t>CTG (Maa O Shishu)-1</t>
  </si>
  <si>
    <t>CTG (Maa O Shishu)-2</t>
  </si>
  <si>
    <t>CTG (Maa O Shishu)-6</t>
  </si>
  <si>
    <t>Chattogram GEN-A-3</t>
  </si>
  <si>
    <t>CTG (EPZ)-1</t>
  </si>
  <si>
    <t>CTG (EPZ)-2</t>
  </si>
  <si>
    <t>CTG (EPZ)-3</t>
  </si>
  <si>
    <t>CTG (Katgor)-1</t>
  </si>
  <si>
    <t>CTG (Navy Gate)-1</t>
  </si>
  <si>
    <t>CTG (Navy Gate)-2</t>
  </si>
  <si>
    <t>CTG (Navy Gate)-3</t>
  </si>
  <si>
    <t>CTG (Navy Gate)-4</t>
  </si>
  <si>
    <t>Chattogram GEN-A-9</t>
  </si>
  <si>
    <t>CTG (Bandartila)-1</t>
  </si>
  <si>
    <t>CTG (Bandartila)-2</t>
  </si>
  <si>
    <t>CTG (Agrabad)-1</t>
  </si>
  <si>
    <t>CTG (Agrabad)-2</t>
  </si>
  <si>
    <t>CTG (Agrabad)-3</t>
  </si>
  <si>
    <t>CTG (Maa O Shishu)-3</t>
  </si>
  <si>
    <t>CTG (Maa O Shishu)-4</t>
  </si>
  <si>
    <t>CTG (Maa O Shishu)-5</t>
  </si>
  <si>
    <t>Chattogram GEN-A-12</t>
  </si>
  <si>
    <t>Chattogram-A (GEN-A)</t>
  </si>
  <si>
    <t>Hathazari-1</t>
  </si>
  <si>
    <t>Hathazari-2</t>
  </si>
  <si>
    <t>Hathazari-3</t>
  </si>
  <si>
    <t>Hathazari-4</t>
  </si>
  <si>
    <t>Hathazari-5</t>
  </si>
  <si>
    <t>Hathazari-6</t>
  </si>
  <si>
    <t>Sarkerhat-1</t>
  </si>
  <si>
    <t xml:space="preserve">Fatehpur-1 </t>
  </si>
  <si>
    <t>Hathazari GEN-A-1</t>
  </si>
  <si>
    <t>Ranirhat-1</t>
  </si>
  <si>
    <t>Rawjan-1</t>
  </si>
  <si>
    <t>Rawjan-2</t>
  </si>
  <si>
    <t>Rawjan-3</t>
  </si>
  <si>
    <t>Rangamati-1</t>
  </si>
  <si>
    <t>Rangamati-2</t>
  </si>
  <si>
    <t>Azadibazar-1</t>
  </si>
  <si>
    <t>Gohira-1</t>
  </si>
  <si>
    <t>Rawjan GEN-A-1</t>
  </si>
  <si>
    <t>Chandraghona-1</t>
  </si>
  <si>
    <t>Chandraghona-2</t>
  </si>
  <si>
    <t>Chandraghona-3</t>
  </si>
  <si>
    <t>Rangunia-1</t>
  </si>
  <si>
    <t>Rangunia-2</t>
  </si>
  <si>
    <t>Rangunia-3</t>
  </si>
  <si>
    <t>Rangunia-4</t>
  </si>
  <si>
    <t>Pahartoli-1</t>
  </si>
  <si>
    <t>Chandraghona GEN-A-1</t>
  </si>
  <si>
    <t>CTG (Ashkerdighi)</t>
  </si>
  <si>
    <t>CTG (Feringee Bazar)-1</t>
  </si>
  <si>
    <t>CTG (General Hospital)-1</t>
  </si>
  <si>
    <t>CTG (Jamal Khan)-1</t>
  </si>
  <si>
    <t>CTG (Jamal Khan)-2</t>
  </si>
  <si>
    <t>CTG (Kotwali)</t>
  </si>
  <si>
    <t>CTG (Sadar Ghat)-1</t>
  </si>
  <si>
    <t>CTG (Sadar Ghat)-2</t>
  </si>
  <si>
    <t>Chattogram GEN-A-4</t>
  </si>
  <si>
    <t>Chowdhury Hat-1</t>
  </si>
  <si>
    <t>Chowdhury Hat-2</t>
  </si>
  <si>
    <t>CTG (Cantonment G. Hosp)-1</t>
  </si>
  <si>
    <t>CTG (Cantonment G. Hosp)-2</t>
  </si>
  <si>
    <t>CTG (Aturar Depot)-1</t>
  </si>
  <si>
    <t>CTG (Aturar Depot)-2</t>
  </si>
  <si>
    <t>CTG (Oxygen)-1</t>
  </si>
  <si>
    <t>CTG (Baizid)</t>
  </si>
  <si>
    <t>Chattogram GEN-A-5</t>
  </si>
  <si>
    <t>CTG (CIMCH)-1</t>
  </si>
  <si>
    <t>CTG (CIMCH)-2</t>
  </si>
  <si>
    <t>CTG (Bahadderhat)</t>
  </si>
  <si>
    <t>Nazumiarhat-1</t>
  </si>
  <si>
    <t>CTG (Noapara)-1</t>
  </si>
  <si>
    <t>CTG (Noapara)-2</t>
  </si>
  <si>
    <t>CTG (Chandgoan)</t>
  </si>
  <si>
    <t>Chattogram GEN-A-13</t>
  </si>
  <si>
    <t>Chattogram-B (GEN-A)</t>
  </si>
  <si>
    <t>Banshkhali-1</t>
  </si>
  <si>
    <t>Banshkhali-2</t>
  </si>
  <si>
    <t>Gunagari-1 (Banshkhali)</t>
  </si>
  <si>
    <t>Napora Bazar-1 (Banshkhali)</t>
  </si>
  <si>
    <t>Banshkhali-3</t>
  </si>
  <si>
    <t>Gunagari-2 (Banshkhali)</t>
  </si>
  <si>
    <t>Chambal Bazar-1</t>
  </si>
  <si>
    <t>Banshkhali GEN-A-1</t>
  </si>
  <si>
    <t>Anowara-1</t>
  </si>
  <si>
    <t>Anowara-2</t>
  </si>
  <si>
    <t>Rustumhat-1 (Anowara)</t>
  </si>
  <si>
    <t>Anowara-4</t>
  </si>
  <si>
    <t>Rustumhat-2 (Anowara)</t>
  </si>
  <si>
    <t>Anowara-3</t>
  </si>
  <si>
    <t>Pukuria-1</t>
  </si>
  <si>
    <t>KEPZ Trust Hospital</t>
  </si>
  <si>
    <t>Anowara GEN-A-1</t>
  </si>
  <si>
    <t>Anowara Road</t>
  </si>
  <si>
    <t>College Bazar-1</t>
  </si>
  <si>
    <t>Potiya-3</t>
  </si>
  <si>
    <t>Potiya-5</t>
  </si>
  <si>
    <t>Potiya-6</t>
  </si>
  <si>
    <t>Shantirhat-1</t>
  </si>
  <si>
    <t>Shantirhat-2</t>
  </si>
  <si>
    <t>Potiya-7</t>
  </si>
  <si>
    <t>Potiya GEN-A-1</t>
  </si>
  <si>
    <t>Chandanaish-1</t>
  </si>
  <si>
    <t>Chandanaish-2</t>
  </si>
  <si>
    <t>Chandanaish-3</t>
  </si>
  <si>
    <t>Potiya-1</t>
  </si>
  <si>
    <t>Potiya-2</t>
  </si>
  <si>
    <t>Potiya-4</t>
  </si>
  <si>
    <t>Dohajari-1</t>
  </si>
  <si>
    <t>Dohajari-2</t>
  </si>
  <si>
    <t>Potiya GEN-A-2</t>
  </si>
  <si>
    <t>CTG (2 No. Gate)-1</t>
  </si>
  <si>
    <t>CTG (Medical Center)</t>
  </si>
  <si>
    <t>CTG (Metropolitan Hosp.)-1</t>
  </si>
  <si>
    <t>CTG (Metropolitan Hosp.)-2</t>
  </si>
  <si>
    <t>CTG (Royal Hosp.)</t>
  </si>
  <si>
    <t>CTG (Marine City)-1</t>
  </si>
  <si>
    <t>CTG (Lab Aid)-1</t>
  </si>
  <si>
    <t>Chattogram GEN-A-1</t>
  </si>
  <si>
    <t>CTG (Belle Vue)-1</t>
  </si>
  <si>
    <t>CTG (Chevron)-1</t>
  </si>
  <si>
    <t>CTG (Chevron)-2</t>
  </si>
  <si>
    <t>CTG (Chevron)-3</t>
  </si>
  <si>
    <t>CTG (CMCH)-1</t>
  </si>
  <si>
    <t>CTG (MAX Hospital)-1</t>
  </si>
  <si>
    <t>CTG (MAX Hospital)-2</t>
  </si>
  <si>
    <t>CTG (Lalkhan Bazar)</t>
  </si>
  <si>
    <t>Chattogram GEN-A-6</t>
  </si>
  <si>
    <t>CTG (CMCH)-4</t>
  </si>
  <si>
    <t>CTG (CMCH)-5</t>
  </si>
  <si>
    <t>CTG (Holy Health)</t>
  </si>
  <si>
    <t>CTG (National)-1</t>
  </si>
  <si>
    <t>CTG (National)-2</t>
  </si>
  <si>
    <t>CTG (National)-3</t>
  </si>
  <si>
    <t>CTG (Bakulia)</t>
  </si>
  <si>
    <t>CTG (Khaza Road)</t>
  </si>
  <si>
    <t>Chattogram GEN-A-10</t>
  </si>
  <si>
    <t>Chattogram-C (GEN-A)</t>
  </si>
  <si>
    <t>Boalkhali-1</t>
  </si>
  <si>
    <t>Boalkhali-2</t>
  </si>
  <si>
    <t>Kanungopara-1 (Boalkhali)</t>
  </si>
  <si>
    <t>Boalkhali-3</t>
  </si>
  <si>
    <t>CTG (Kalurghat)-1</t>
  </si>
  <si>
    <t>CTG (Kalurghat)-2</t>
  </si>
  <si>
    <t>CTG (Rashtarmatha)</t>
  </si>
  <si>
    <t>Boalkhali GEN-A-1</t>
  </si>
  <si>
    <t>Nanupur-1</t>
  </si>
  <si>
    <t>Nazirhat-1</t>
  </si>
  <si>
    <t>Nazirhat-2</t>
  </si>
  <si>
    <t>Nazirhat-3</t>
  </si>
  <si>
    <t>Nazirhat-4</t>
  </si>
  <si>
    <t>Nazirhat-5</t>
  </si>
  <si>
    <t>Kazirhat-1</t>
  </si>
  <si>
    <t>Narayanhat-1</t>
  </si>
  <si>
    <t>Fatikchari GEN-A-1</t>
  </si>
  <si>
    <t>Bibirhat-1</t>
  </si>
  <si>
    <t>Bibirhat-2</t>
  </si>
  <si>
    <t>Bibirhat-3</t>
  </si>
  <si>
    <t>Dighinala-1</t>
  </si>
  <si>
    <t>Khagrachari-1</t>
  </si>
  <si>
    <t>Khagrachari-2</t>
  </si>
  <si>
    <t>Manikchari-1</t>
  </si>
  <si>
    <t>Matiranga-1</t>
  </si>
  <si>
    <t>Fatikchari GEN-A-2</t>
  </si>
  <si>
    <t>CTG (Chawk Bazar)-1</t>
  </si>
  <si>
    <t>CTG (Delta Hospital)</t>
  </si>
  <si>
    <t>CTG (Dewan Bazar)</t>
  </si>
  <si>
    <t>CTG (Park View)-1</t>
  </si>
  <si>
    <t>CTG (Park View)-2</t>
  </si>
  <si>
    <t>CTG (Park View)-3</t>
  </si>
  <si>
    <t>CTG (Red Crescent)</t>
  </si>
  <si>
    <t>CTG (Surgiscope)</t>
  </si>
  <si>
    <t>Chattogram GEN-A-2</t>
  </si>
  <si>
    <t>CTG (CMCH)-2</t>
  </si>
  <si>
    <t>CTG (CSCR)-1</t>
  </si>
  <si>
    <t>CTG (CSCR)-2</t>
  </si>
  <si>
    <t>CTG (EPIC)-1</t>
  </si>
  <si>
    <t>CTG (EPIC)-2</t>
  </si>
  <si>
    <t>CTG (EPIC)-3</t>
  </si>
  <si>
    <t>CTG (EPIC)-4</t>
  </si>
  <si>
    <t>Chattogram GEN-A-7</t>
  </si>
  <si>
    <t>CTG (CMCH)-3</t>
  </si>
  <si>
    <t>CTG (Lancet)</t>
  </si>
  <si>
    <t>CTG (Life Care)</t>
  </si>
  <si>
    <t>CTG (Popular)-1</t>
  </si>
  <si>
    <t>CTG (Popular)-2</t>
  </si>
  <si>
    <t>CTG (Popular)-3</t>
  </si>
  <si>
    <t>CTG (Peoples Hosp.)</t>
  </si>
  <si>
    <t>CTG (Ibn Sina)-1</t>
  </si>
  <si>
    <t>Chattogram GEN-A-11</t>
  </si>
  <si>
    <t>Chattogram-D (GEN-A)</t>
  </si>
  <si>
    <t>Amirabad-1</t>
  </si>
  <si>
    <t>Amirabad-2</t>
  </si>
  <si>
    <t>Amirabad-3</t>
  </si>
  <si>
    <t>Padua-2 (Amirabad)</t>
  </si>
  <si>
    <t>Amirabad-5</t>
  </si>
  <si>
    <t>Amirabad-4</t>
  </si>
  <si>
    <t>Padua-1</t>
  </si>
  <si>
    <t>Amirabad GEN-A-1</t>
  </si>
  <si>
    <t>Chakaria-1</t>
  </si>
  <si>
    <t>Chakaria-2</t>
  </si>
  <si>
    <t>Chakaria-3</t>
  </si>
  <si>
    <t>Chakaria-4</t>
  </si>
  <si>
    <t>Chakaria-5</t>
  </si>
  <si>
    <t>Eidgaon-1</t>
  </si>
  <si>
    <t>Eidgaon-2</t>
  </si>
  <si>
    <t>Eidgaon-3</t>
  </si>
  <si>
    <t>Chakaria GEN-A-1</t>
  </si>
  <si>
    <t>Coxs Bazar (Fuad Al Khateeb)-1</t>
  </si>
  <si>
    <t>Coxs Bazar (Fuad Al Khateeb)-2</t>
  </si>
  <si>
    <t>Coxs Bazar (General Hosp)</t>
  </si>
  <si>
    <t>Coxs Bazar (Old Cevron)</t>
  </si>
  <si>
    <t>Coxs Bazar (Sea Side Hospital)</t>
  </si>
  <si>
    <t>Ramu-1</t>
  </si>
  <si>
    <t>Ramu-2</t>
  </si>
  <si>
    <t>Cox Bazar GEN-A-1</t>
  </si>
  <si>
    <t>Coxs Bazar (CIC)-1</t>
  </si>
  <si>
    <t>Coxs Bazar (Digital Hosp )</t>
  </si>
  <si>
    <t>Coxs Bazar (Pan Bazar)</t>
  </si>
  <si>
    <t>Coxs Bazar (Union Hospital)</t>
  </si>
  <si>
    <t>Coxs Bazar (Sadar Hospital)</t>
  </si>
  <si>
    <t>Link Road-Bangla Bazar</t>
  </si>
  <si>
    <t>Lama-1</t>
  </si>
  <si>
    <t>Cox Bazar GEN-A-2</t>
  </si>
  <si>
    <t>Bandarban-1</t>
  </si>
  <si>
    <t>Bandarban-2</t>
  </si>
  <si>
    <t>Keranihat-1</t>
  </si>
  <si>
    <t>Keranihat-2</t>
  </si>
  <si>
    <t>Keranihat-3</t>
  </si>
  <si>
    <t>Keranihat-4</t>
  </si>
  <si>
    <t>Satkania-1</t>
  </si>
  <si>
    <t>Satkania-2</t>
  </si>
  <si>
    <t>Satkania-3</t>
  </si>
  <si>
    <t>Hnilla-Teknaf</t>
  </si>
  <si>
    <t>Kutupalong-1</t>
  </si>
  <si>
    <t>Teknaf-1</t>
  </si>
  <si>
    <t>Teknaf-2</t>
  </si>
  <si>
    <t>Ukhia-1</t>
  </si>
  <si>
    <t>Ukhia-2</t>
  </si>
  <si>
    <t>Ukhia GEN-A-1</t>
  </si>
  <si>
    <t>Pekuya-1</t>
  </si>
  <si>
    <t>Pekuya-2</t>
  </si>
  <si>
    <t>Kutubdia-1</t>
  </si>
  <si>
    <t>Kutubdia-2</t>
  </si>
  <si>
    <t>Moheshkhali-1</t>
  </si>
  <si>
    <t>Moheshkhali-2</t>
  </si>
  <si>
    <t>Moheshkhali-3</t>
  </si>
  <si>
    <t>Matarbari-1</t>
  </si>
  <si>
    <t>Moheshkhali GEN-A-1</t>
  </si>
  <si>
    <t>Cox Bazar (GEN-A)</t>
  </si>
  <si>
    <t>Division</t>
  </si>
  <si>
    <t>Mr. Md. Robiul Islam</t>
  </si>
  <si>
    <t>Mr. Md. Anarul Islam</t>
  </si>
  <si>
    <t>Mr. Md. Firoz Alam</t>
  </si>
  <si>
    <t>Mr. Solaiman</t>
  </si>
  <si>
    <t>Mr. Md. Mahmud Kobir</t>
  </si>
  <si>
    <t>Mr. Md. Ariful Islam</t>
  </si>
  <si>
    <t>Mr. Subarato Chandro</t>
  </si>
  <si>
    <t>Mr. Biplop Kumer Roy</t>
  </si>
  <si>
    <t>Mr. Gokul Kumar</t>
  </si>
  <si>
    <t>Mr. Md. Golam Maula</t>
  </si>
  <si>
    <t>Mr. A.S.M Salah Uddin</t>
  </si>
  <si>
    <t>Mr. Golam Rahman</t>
  </si>
  <si>
    <t>Mr. Md. Refat Dewan</t>
  </si>
  <si>
    <t>Mr. Rothindronath Roy</t>
  </si>
  <si>
    <t>Mr. Vacant</t>
  </si>
  <si>
    <t>Mr. Md. Jakir Hossain</t>
  </si>
  <si>
    <t>Mr.  Md. Omar Faruk</t>
  </si>
  <si>
    <t>Mr. Md. Saheb Ali</t>
  </si>
  <si>
    <t>Mr. Md. Mehedi Hasan</t>
  </si>
  <si>
    <t>Mr. Md. Masum Ali</t>
  </si>
  <si>
    <t>Mr. Md. Abu Taher</t>
  </si>
  <si>
    <t>Mr. Kazi Shajjad Hossain</t>
  </si>
  <si>
    <t>Mr. Md. Rabeul Islam</t>
  </si>
  <si>
    <t>Mr. Md. Mahfuzar Rahman</t>
  </si>
  <si>
    <t>Mr. Polash Uddin</t>
  </si>
  <si>
    <t>Mr. Md. Manik Khan</t>
  </si>
  <si>
    <t>Mr. Md. Azahar Uddin</t>
  </si>
  <si>
    <t>Mr. Md. Majharul Islam</t>
  </si>
  <si>
    <t>Mr. Md. Rakib Hossain</t>
  </si>
  <si>
    <t>Mr. Md. Abdul Hamid Miah</t>
  </si>
  <si>
    <t>Mr. Md. Khademul Islam</t>
  </si>
  <si>
    <t>Mr. Md. Omar Ali</t>
  </si>
  <si>
    <t>Mr. Md. Muhaiminul Islam</t>
  </si>
  <si>
    <t>Mr. Kartic Sarker</t>
  </si>
  <si>
    <t>Mr. M.Mehedi Hasan Saikot</t>
  </si>
  <si>
    <t>Mr. Sudangshu</t>
  </si>
  <si>
    <t>Mr. Md. Hero Mia</t>
  </si>
  <si>
    <t>Mr. Md. Aynul Islam</t>
  </si>
  <si>
    <t>Mr. Md. Abdul Aziz</t>
  </si>
  <si>
    <t>Mr. Md. Abdul Mannan Sarker</t>
  </si>
  <si>
    <t>Mr. A.T. M Kamruzzaman Sarkar</t>
  </si>
  <si>
    <t>Mr. Md. Shakil Ahamed</t>
  </si>
  <si>
    <t>Mr. Md. Aktaruzzaman</t>
  </si>
  <si>
    <t>Mr. Janibur Rahman</t>
  </si>
  <si>
    <t>Mr. Md. Shah Alam</t>
  </si>
  <si>
    <t>Mr. Ramjan Ali</t>
  </si>
  <si>
    <t>Mr. Mr. Khairul Alam</t>
  </si>
  <si>
    <t>Mr. Md. Tanvir Hossain</t>
  </si>
  <si>
    <t>Mr. Md. Mahmudul Hasan</t>
  </si>
  <si>
    <t>Mr. Md. Shoriful Islam</t>
  </si>
  <si>
    <t>Mr. Md. Amirul Islam</t>
  </si>
  <si>
    <t>Mr. Mehedi Hasan</t>
  </si>
  <si>
    <t>Mr. Md. Tahidul Islam</t>
  </si>
  <si>
    <t>Mr. Md. Ataur Rahman</t>
  </si>
  <si>
    <t>Mr. Md. Jahangir Alom</t>
  </si>
  <si>
    <t>Mr.  Md. Tarik Aziz</t>
  </si>
  <si>
    <t>Mr. Md. Sawkat Ali</t>
  </si>
  <si>
    <t>Mr. Kisno Pado Barmon</t>
  </si>
  <si>
    <t>Mr. Md. Sayem Khan</t>
  </si>
  <si>
    <t>Mr. Md. Jan Mahmud</t>
  </si>
  <si>
    <t>Mr. Nazmul Huda</t>
  </si>
  <si>
    <t>Mr. Md. Kamrul Hasan</t>
  </si>
  <si>
    <t>Mr. Md. Shahanur Rahman</t>
  </si>
  <si>
    <t>Mr. Md. Sajib Hossain</t>
  </si>
  <si>
    <t>Mr. Md. Sahadat Zaman</t>
  </si>
  <si>
    <t>Mr. Md. Ashraful Alam</t>
  </si>
  <si>
    <t>Mr. Md. Mohiuddin</t>
  </si>
  <si>
    <t>Mr. Hridoy Chandra Sikder</t>
  </si>
  <si>
    <t>Mr. Md. Abubakar Siddiq</t>
  </si>
  <si>
    <t>Mr. Gobinda Chandra Sarkar</t>
  </si>
  <si>
    <t>Mr. Shaddam Hossain</t>
  </si>
  <si>
    <t>Mr. Abdul Jalil</t>
  </si>
  <si>
    <t>Mr. Md. Murad Ali</t>
  </si>
  <si>
    <t>Mr. Rajesh Kumar Paul</t>
  </si>
  <si>
    <t>Mr. Md. Shamim Reza</t>
  </si>
  <si>
    <t>Mr. Sagor Ali</t>
  </si>
  <si>
    <t>Mr. Md. Azizul Haque</t>
  </si>
  <si>
    <t>Mr. Dilip Kumar Roy</t>
  </si>
  <si>
    <t>Mr. Halel Mia</t>
  </si>
  <si>
    <t>Mr. Suman Sikder</t>
  </si>
  <si>
    <t>Mr. Md. Ashif Iqbal</t>
  </si>
  <si>
    <t>Mr. Himangshu Debnath</t>
  </si>
  <si>
    <t>Mr. Naoshad Hossain</t>
  </si>
  <si>
    <t>Mr. Md. Shahin Mia</t>
  </si>
  <si>
    <t>Mr.  Md. Abdur Rahman</t>
  </si>
  <si>
    <t>Mr. Md. Mizanur Rahman</t>
  </si>
  <si>
    <t>Mr. Lakkhon Kumar Roy</t>
  </si>
  <si>
    <t>Mr. Nayan Chandra</t>
  </si>
  <si>
    <t>Mr. Md. Ahasan Habib</t>
  </si>
  <si>
    <t>Mr. Md. Sarafat Hossain</t>
  </si>
  <si>
    <t>Mr. Anwar Hossain</t>
  </si>
  <si>
    <t>Mr. Md. Azizur Rahman</t>
  </si>
  <si>
    <t>Mr. Md. Roknuzzaman</t>
  </si>
  <si>
    <t>Mr. S. M Sadekur Rahman</t>
  </si>
  <si>
    <t>Mr. Md. Ebrahim Ali</t>
  </si>
  <si>
    <t>Mr. Md. Shahadat Hossen</t>
  </si>
  <si>
    <t>Mr. Jothis Chandra</t>
  </si>
  <si>
    <t>Mr. Haran Chandra Pal</t>
  </si>
  <si>
    <t>Mr. Bindu Chandra Sarker</t>
  </si>
  <si>
    <t>Mr. Md. Omar Faruque</t>
  </si>
  <si>
    <t>Mr. Md. Al-Amin</t>
  </si>
  <si>
    <t>Mr. Md. Motasim Billah</t>
  </si>
  <si>
    <t>Mr. Md. Sohel Tanvir</t>
  </si>
  <si>
    <t>Mr. Md. Mosikur Rahaman</t>
  </si>
  <si>
    <t>Mr. Md. Altab Hossain</t>
  </si>
  <si>
    <t>Mr. Md. Alamin Hossain</t>
  </si>
  <si>
    <t>Mr. Md. Ruhul Kuddus</t>
  </si>
  <si>
    <t>Mr. Md. Saddam Hosen</t>
  </si>
  <si>
    <t>Mr. Md. Anwar Hossain</t>
  </si>
  <si>
    <t>Mr. Shipon Sarker</t>
  </si>
  <si>
    <t>Mr. Md. Tusar Imran</t>
  </si>
  <si>
    <t>Mr. Nafizur Rahman</t>
  </si>
  <si>
    <t>Mr. Md. Ansarul Islam</t>
  </si>
  <si>
    <t>Mr. Md. Aminul Islam</t>
  </si>
  <si>
    <t>Mr. Md. Sagir Uddin Ahmed</t>
  </si>
  <si>
    <t>Mr. J.M Raihan Uddin</t>
  </si>
  <si>
    <t>Mr. Md. Abu Bakkar Siddik Jibon</t>
  </si>
  <si>
    <t>Mr. Md. Mozaffar Hossain</t>
  </si>
  <si>
    <t>Mr. Md. Shakhawat Hossen</t>
  </si>
  <si>
    <t>Mr. Md. Shohan Parvez</t>
  </si>
  <si>
    <t>Mr. Ramesh Sutradhar</t>
  </si>
  <si>
    <t>Mr. Md. Rabiul Islam</t>
  </si>
  <si>
    <t>Mr. Md. Safirul Haque</t>
  </si>
  <si>
    <t>Mr. Md. Tariqul Islam</t>
  </si>
  <si>
    <t>Mr. Md. Sozib Rana</t>
  </si>
  <si>
    <t>Mr. Md. Mofazzol Hossain</t>
  </si>
  <si>
    <t>Mr. Md. Emdadul Haque</t>
  </si>
  <si>
    <t>Mr. Md. Saddam Hossain</t>
  </si>
  <si>
    <t>Mr. Suel Rana</t>
  </si>
  <si>
    <t>Mr. Mohammad Mahabub Alam</t>
  </si>
  <si>
    <t>Mr. Md. Humayun Kabir</t>
  </si>
  <si>
    <t>Mr. Md. Robel Mia</t>
  </si>
  <si>
    <t>Mr. Prosanto Chandro Barman</t>
  </si>
  <si>
    <t>Mr. Md. Abdur Rob</t>
  </si>
  <si>
    <t>Mr. Md. Ekbal Hossain</t>
  </si>
  <si>
    <t>Mr. Arjun Chandra Debnath</t>
  </si>
  <si>
    <t>Mr. Md. Abu Taleb</t>
  </si>
  <si>
    <t>Mr. S.M. Md. Tasnim Alam</t>
  </si>
  <si>
    <t>Mr. Ripon Kumar Das</t>
  </si>
  <si>
    <t>Mr. Md. Abu Hannan Bilas</t>
  </si>
  <si>
    <t>Mr. Osman Gani</t>
  </si>
  <si>
    <t>Mr. Md. Bachchu Alam</t>
  </si>
  <si>
    <t>Mr. Md. Anisuzzaman Talukder</t>
  </si>
  <si>
    <t>Mr. Md. Masud Rana</t>
  </si>
  <si>
    <t xml:space="preserve">Mr. Md. Pavel Islam </t>
  </si>
  <si>
    <t>Mr. Md. Rajibul Islam</t>
  </si>
  <si>
    <t>Mr. Nabadwip Dep Nath</t>
  </si>
  <si>
    <t>Mr. Md. Mahabubur Rahman</t>
  </si>
  <si>
    <t>Mr. Md. Joynul Abedin</t>
  </si>
  <si>
    <t>Mr. Md. Shah Alom Sarker</t>
  </si>
  <si>
    <t>Mr. Md. Ebrahim Hossain</t>
  </si>
  <si>
    <t>Mr. Md. Kamal Hossain</t>
  </si>
  <si>
    <t>Mr. Md. Helal Mahmud</t>
  </si>
  <si>
    <t>Mr. Razib Hossain</t>
  </si>
  <si>
    <t>Mr. Md. Salim Jahangir</t>
  </si>
  <si>
    <t>Mr. Rajib Sarker</t>
  </si>
  <si>
    <t>Mr. Raju Ahmed</t>
  </si>
  <si>
    <t>Mr. Sukomal Rai</t>
  </si>
  <si>
    <t>Mr. Mohin Uddin</t>
  </si>
  <si>
    <t>Mr. Md. Kawsar Howlader</t>
  </si>
  <si>
    <t>Mr. Toha</t>
  </si>
  <si>
    <t>Mr. Md. Hasan Uddin</t>
  </si>
  <si>
    <t xml:space="preserve">Mr. Md. Mohosin </t>
  </si>
  <si>
    <t>Mr. Nirmol Chandra Roy</t>
  </si>
  <si>
    <t>Mr. Haritosh Chandra Das</t>
  </si>
  <si>
    <t>Mr. Md. Alamgir Hossain</t>
  </si>
  <si>
    <t>Mr. Md Ariful Islam</t>
  </si>
  <si>
    <t>Mr. Md. Rokibour Rahman</t>
  </si>
  <si>
    <t>Mr.  Md. Younus Hossain Rubel</t>
  </si>
  <si>
    <t>Mr. Md. Minhajul Islam</t>
  </si>
  <si>
    <t>Mr. Md. Zillur Rahman</t>
  </si>
  <si>
    <t>Mr. Md. Shybur Rahman</t>
  </si>
  <si>
    <t>Mr. Abdullah Md. Maruf</t>
  </si>
  <si>
    <t>Mr. Md. Jaman Mia</t>
  </si>
  <si>
    <t>Mr. Md. Nasim Uddin</t>
  </si>
  <si>
    <t>Mr. Md. Miraj Hossain Sakil</t>
  </si>
  <si>
    <t>Mr. Anwar Zahid</t>
  </si>
  <si>
    <t>Mr. Mr. Md. Saddam Hossen</t>
  </si>
  <si>
    <t>Mr. Nymul Hossain</t>
  </si>
  <si>
    <t>Mr. Uzzal Ghosh</t>
  </si>
  <si>
    <t>Mr. Wahidul Islam</t>
  </si>
  <si>
    <t>Mr. Md. Sabuj Ali</t>
  </si>
  <si>
    <t>Mr.  Zakaria Hossain</t>
  </si>
  <si>
    <t>Mr. Md. Mozahidul Islam</t>
  </si>
  <si>
    <t>Mr. Md. Ruhol Amin</t>
  </si>
  <si>
    <t>Mr. Md. Rokibul Islam</t>
  </si>
  <si>
    <t>Mr. Md. Moniruzzaman</t>
  </si>
  <si>
    <t>Mr. Ashifur Rahman</t>
  </si>
  <si>
    <t>Mr. Md. Mir Hossan</t>
  </si>
  <si>
    <t>Mr. Md. Shamsul Arifin Linkon</t>
  </si>
  <si>
    <t>Mr. Sabuz Kumar Seen</t>
  </si>
  <si>
    <t>Mr. Md. Shaheb Ali</t>
  </si>
  <si>
    <t>Mr. Md. Miraj Sikder</t>
  </si>
  <si>
    <t>Mr. Ripan Saha</t>
  </si>
  <si>
    <t>Mr. Md. Emdadul Haq</t>
  </si>
  <si>
    <t>Mr. Abdur Rhahman Rani</t>
  </si>
  <si>
    <t>Mr. Md. Nahid-Ul-Islam</t>
  </si>
  <si>
    <t>Mr. Ariful Islam</t>
  </si>
  <si>
    <t>Mr. Md. Abdul Mannaf</t>
  </si>
  <si>
    <t>Mr. Md. Azizar Rahman</t>
  </si>
  <si>
    <t>Mr. Md. Masudul Islam</t>
  </si>
  <si>
    <t>Mr. Md. Shahin Alam</t>
  </si>
  <si>
    <t>Mr. Sharif Uddin</t>
  </si>
  <si>
    <t>Mr. Md. Golam Rasul</t>
  </si>
  <si>
    <t>Mr. Md. Sovo Ali</t>
  </si>
  <si>
    <t>Mr. Md. Saidur Jaman</t>
  </si>
  <si>
    <t>Mr. Md. Sabuj Hossain</t>
  </si>
  <si>
    <t>Mr. Md. Zahid Hasan</t>
  </si>
  <si>
    <t>Mr. Omar Faruk</t>
  </si>
  <si>
    <t>Mr. Md. Rubel Hossain</t>
  </si>
  <si>
    <t>Mr. Md. Ebrahim Khalil</t>
  </si>
  <si>
    <t>Mr. Md. Hafizur Rahman</t>
  </si>
  <si>
    <t>Mr. Bikash Kumar Barman</t>
  </si>
  <si>
    <t>Mr. Mizanur Rahman Samim</t>
  </si>
  <si>
    <t>Mr. Md. Tareq Ahamed Khandaker</t>
  </si>
  <si>
    <t xml:space="preserve">Mr. Md. Faruque Dhali </t>
  </si>
  <si>
    <t>Mr. Md. Emadul Islam Rabbi</t>
  </si>
  <si>
    <t>Mr. Zafar Iqbal</t>
  </si>
  <si>
    <t>Mr. Sanuar Hossain</t>
  </si>
  <si>
    <t>Mr. Md. Golam Mostafa</t>
  </si>
  <si>
    <t>Mr. Pabitra Kumar Sarker</t>
  </si>
  <si>
    <t>Mr. Sagar Sutradhar</t>
  </si>
  <si>
    <t>Mr. Md. Inzamul Hasan</t>
  </si>
  <si>
    <t>Mr. Raqibul Hasan</t>
  </si>
  <si>
    <t>Mr. Nityanando Kumar Khan</t>
  </si>
  <si>
    <t>Mr. Md. Mamun Miah</t>
  </si>
  <si>
    <t>Mr. Md. Mahmudul Basunia</t>
  </si>
  <si>
    <t>Mr. Md. Rasel Gazi</t>
  </si>
  <si>
    <t>Mr. Md. Jakaria</t>
  </si>
  <si>
    <t>Mr. Shamiur Rahman</t>
  </si>
  <si>
    <t>Mr. Md. Uzir Ali</t>
  </si>
  <si>
    <t>Mr. Muhammad Moinul Hasan</t>
  </si>
  <si>
    <t>Mr. Md. Enamul Haque</t>
  </si>
  <si>
    <t>Mr. Wahiduzzaman</t>
  </si>
  <si>
    <t>Mr. Md. Aminur Islam</t>
  </si>
  <si>
    <t>Mr. Md. Abdul Alim</t>
  </si>
  <si>
    <t>Tuhin Reza</t>
  </si>
  <si>
    <t>Rubel Islam</t>
  </si>
  <si>
    <t>Remakrs</t>
  </si>
  <si>
    <t>Gate Pass
(15-18 March)</t>
  </si>
  <si>
    <t>Converted
to 6 days</t>
  </si>
  <si>
    <t>EID-UL-ADHA Projection-26</t>
  </si>
  <si>
    <t>Ach%</t>
  </si>
  <si>
    <t>Keranirhat GEN-A-1</t>
  </si>
  <si>
    <t>Revised</t>
  </si>
  <si>
    <t>Avr. Growth in Eid-ul-adha</t>
  </si>
  <si>
    <t>Ach% on Projection</t>
  </si>
  <si>
    <t>Sales 
22-May</t>
  </si>
  <si>
    <t>Sales 
23-May</t>
  </si>
  <si>
    <t>Sales 
24-May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</si>
</sst>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Mr. &quot;@"/>
    <numFmt numFmtId="165" formatCode="[$-409]d/mmm;@"/>
  </numFmts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sz val="16"/>
      <color rgb="FF00206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1" fontId="5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left" vertical="center" wrapText="1"/>
    </xf>
    <xf numFmtId="1" fontId="4" fillId="4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left" vertical="center" wrapText="1"/>
    </xf>
    <xf numFmtId="1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vertical="center"/>
    </xf>
    <xf numFmtId="1" fontId="1" fillId="6" borderId="2" xfId="0" applyNumberFormat="1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left" vertical="center"/>
    </xf>
    <xf numFmtId="17" fontId="2" fillId="2" borderId="0" xfId="0" applyNumberFormat="1" applyFont="1" applyFill="1" applyAlignment="1">
      <alignment horizontal="center"/>
    </xf>
    <xf numFmtId="165" fontId="4" fillId="3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5" fillId="9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Admin\Downloads\daily_sales_achievement-18009(2026-05-23-2026-05-23).xlsx" TargetMode="External"/><Relationship Id="rId1" Type="http://schemas.openxmlformats.org/officeDocument/2006/relationships/externalLinkPath" Target="/Users/Admin/Downloads/daily_sales_achievement-18009(2026-05-23-2026-05-2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"/>
    </sheetNames>
    <sheetDataSet>
      <sheetData sheetId="0">
        <row r="1">
          <cell r="B1"/>
          <cell r="C1" t="str">
            <v>Budget</v>
          </cell>
          <cell r="D1" t="str">
            <v>ProrataBudget</v>
          </cell>
          <cell r="E1" t="str">
            <v>TotalSales</v>
          </cell>
        </row>
        <row r="2">
          <cell r="B2">
            <v>11004</v>
          </cell>
          <cell r="C2">
            <v>614564.81999999995</v>
          </cell>
          <cell r="D2">
            <v>23637.11</v>
          </cell>
          <cell r="E2">
            <v>46209.97</v>
          </cell>
        </row>
        <row r="3">
          <cell r="B3">
            <v>11005</v>
          </cell>
          <cell r="C3">
            <v>814333.72</v>
          </cell>
          <cell r="D3">
            <v>31320.53</v>
          </cell>
          <cell r="E3">
            <v>46077.49</v>
          </cell>
        </row>
        <row r="4">
          <cell r="B4">
            <v>11006</v>
          </cell>
          <cell r="C4">
            <v>980765.42</v>
          </cell>
          <cell r="D4">
            <v>37721.75</v>
          </cell>
          <cell r="E4">
            <v>17465.599999999999</v>
          </cell>
        </row>
        <row r="5">
          <cell r="B5">
            <v>11007</v>
          </cell>
          <cell r="C5">
            <v>935056.73</v>
          </cell>
          <cell r="D5">
            <v>35963.72</v>
          </cell>
          <cell r="E5">
            <v>11431.78</v>
          </cell>
        </row>
        <row r="6">
          <cell r="B6">
            <v>11008</v>
          </cell>
          <cell r="C6">
            <v>738132.24</v>
          </cell>
          <cell r="D6">
            <v>28389.7</v>
          </cell>
          <cell r="E6">
            <v>110218.33</v>
          </cell>
        </row>
        <row r="7">
          <cell r="B7">
            <v>11009</v>
          </cell>
          <cell r="C7">
            <v>666092.99</v>
          </cell>
          <cell r="D7">
            <v>25618.959999999999</v>
          </cell>
          <cell r="E7">
            <v>28182.02</v>
          </cell>
        </row>
        <row r="8">
          <cell r="B8">
            <v>11010</v>
          </cell>
          <cell r="C8">
            <v>717853.43</v>
          </cell>
          <cell r="D8">
            <v>27609.75</v>
          </cell>
          <cell r="E8">
            <v>31804.47</v>
          </cell>
        </row>
        <row r="9">
          <cell r="B9">
            <v>11011</v>
          </cell>
          <cell r="C9">
            <v>828333.85</v>
          </cell>
          <cell r="D9">
            <v>31858.99</v>
          </cell>
          <cell r="E9">
            <v>60697.98</v>
          </cell>
        </row>
        <row r="10">
          <cell r="B10">
            <v>11012</v>
          </cell>
          <cell r="C10">
            <v>814977.76</v>
          </cell>
          <cell r="D10">
            <v>31345.3</v>
          </cell>
          <cell r="E10">
            <v>62216.77</v>
          </cell>
        </row>
        <row r="11">
          <cell r="B11">
            <v>11013</v>
          </cell>
          <cell r="C11">
            <v>812816.85</v>
          </cell>
          <cell r="D11">
            <v>31262.19</v>
          </cell>
          <cell r="E11">
            <v>0</v>
          </cell>
        </row>
        <row r="12">
          <cell r="B12">
            <v>11014</v>
          </cell>
          <cell r="C12">
            <v>708413.34</v>
          </cell>
          <cell r="D12">
            <v>27246.67</v>
          </cell>
          <cell r="E12">
            <v>0</v>
          </cell>
        </row>
        <row r="13">
          <cell r="B13">
            <v>11015</v>
          </cell>
          <cell r="C13">
            <v>762328.75</v>
          </cell>
          <cell r="D13">
            <v>29320.34</v>
          </cell>
          <cell r="E13">
            <v>0</v>
          </cell>
        </row>
        <row r="14">
          <cell r="B14">
            <v>11016</v>
          </cell>
          <cell r="C14">
            <v>826808.65</v>
          </cell>
          <cell r="D14">
            <v>31800.33</v>
          </cell>
          <cell r="E14">
            <v>225406.04</v>
          </cell>
        </row>
        <row r="15">
          <cell r="B15">
            <v>11017</v>
          </cell>
          <cell r="C15">
            <v>769708.28</v>
          </cell>
          <cell r="D15">
            <v>29604.16</v>
          </cell>
          <cell r="E15">
            <v>0</v>
          </cell>
        </row>
        <row r="16">
          <cell r="B16">
            <v>11018</v>
          </cell>
          <cell r="C16">
            <v>1050870.3799999999</v>
          </cell>
          <cell r="D16">
            <v>40418.089999999997</v>
          </cell>
          <cell r="E16">
            <v>0</v>
          </cell>
        </row>
        <row r="17">
          <cell r="B17">
            <v>11019</v>
          </cell>
          <cell r="C17">
            <v>1080740.72</v>
          </cell>
          <cell r="D17">
            <v>41566.949999999997</v>
          </cell>
          <cell r="E17">
            <v>0</v>
          </cell>
        </row>
        <row r="18">
          <cell r="B18">
            <v>11020</v>
          </cell>
          <cell r="C18">
            <v>840666.08</v>
          </cell>
          <cell r="D18">
            <v>32333.31</v>
          </cell>
          <cell r="E18">
            <v>-28467.81</v>
          </cell>
        </row>
        <row r="19">
          <cell r="B19">
            <v>11021</v>
          </cell>
          <cell r="C19">
            <v>965740.97</v>
          </cell>
          <cell r="D19">
            <v>37143.879999999997</v>
          </cell>
          <cell r="E19">
            <v>0</v>
          </cell>
        </row>
        <row r="20">
          <cell r="B20">
            <v>11022</v>
          </cell>
          <cell r="C20">
            <v>911709.09</v>
          </cell>
          <cell r="D20">
            <v>35065.730000000003</v>
          </cell>
          <cell r="E20">
            <v>-1814.85</v>
          </cell>
        </row>
        <row r="21">
          <cell r="B21">
            <v>11023</v>
          </cell>
          <cell r="C21">
            <v>839216.55</v>
          </cell>
          <cell r="D21">
            <v>32277.56</v>
          </cell>
          <cell r="E21">
            <v>-5701.66</v>
          </cell>
        </row>
        <row r="22">
          <cell r="B22">
            <v>11024</v>
          </cell>
          <cell r="C22">
            <v>909650.27</v>
          </cell>
          <cell r="D22">
            <v>34986.550000000003</v>
          </cell>
          <cell r="E22">
            <v>171329.01</v>
          </cell>
        </row>
        <row r="23">
          <cell r="B23">
            <v>11025</v>
          </cell>
          <cell r="C23">
            <v>477577.45</v>
          </cell>
          <cell r="D23">
            <v>18368.36</v>
          </cell>
          <cell r="E23">
            <v>107009.37</v>
          </cell>
        </row>
        <row r="24">
          <cell r="B24">
            <v>11026</v>
          </cell>
          <cell r="C24">
            <v>654108.12</v>
          </cell>
          <cell r="D24">
            <v>25158</v>
          </cell>
          <cell r="E24">
            <v>0</v>
          </cell>
        </row>
        <row r="25">
          <cell r="B25">
            <v>11027</v>
          </cell>
          <cell r="C25">
            <v>869951.84</v>
          </cell>
          <cell r="D25">
            <v>33459.69</v>
          </cell>
          <cell r="E25">
            <v>86457.35</v>
          </cell>
        </row>
        <row r="26">
          <cell r="B26">
            <v>11028</v>
          </cell>
          <cell r="C26">
            <v>898692.33</v>
          </cell>
          <cell r="D26">
            <v>34565.089999999997</v>
          </cell>
          <cell r="E26">
            <v>120987.29</v>
          </cell>
        </row>
        <row r="27">
          <cell r="B27">
            <v>11029</v>
          </cell>
          <cell r="C27">
            <v>765589.45</v>
          </cell>
          <cell r="D27">
            <v>29445.75</v>
          </cell>
          <cell r="E27">
            <v>55948.160000000003</v>
          </cell>
        </row>
        <row r="28">
          <cell r="B28">
            <v>11030</v>
          </cell>
          <cell r="C28">
            <v>786084.04</v>
          </cell>
          <cell r="D28">
            <v>30234</v>
          </cell>
          <cell r="E28">
            <v>43321.55</v>
          </cell>
        </row>
        <row r="29">
          <cell r="B29">
            <v>11031</v>
          </cell>
          <cell r="C29">
            <v>906723.49</v>
          </cell>
          <cell r="D29">
            <v>34873.980000000003</v>
          </cell>
          <cell r="E29">
            <v>130194.3</v>
          </cell>
        </row>
        <row r="30">
          <cell r="B30">
            <v>11032</v>
          </cell>
          <cell r="C30">
            <v>783340.93</v>
          </cell>
          <cell r="D30">
            <v>30128.5</v>
          </cell>
          <cell r="E30">
            <v>47951.34</v>
          </cell>
        </row>
        <row r="31">
          <cell r="B31">
            <v>11033</v>
          </cell>
          <cell r="C31">
            <v>931257.81</v>
          </cell>
          <cell r="D31">
            <v>35817.61</v>
          </cell>
          <cell r="E31">
            <v>62413.41</v>
          </cell>
        </row>
        <row r="32">
          <cell r="B32">
            <v>11034</v>
          </cell>
          <cell r="C32">
            <v>1008484.36</v>
          </cell>
          <cell r="D32">
            <v>38787.86</v>
          </cell>
          <cell r="E32">
            <v>234235.96</v>
          </cell>
        </row>
        <row r="33">
          <cell r="B33">
            <v>11035</v>
          </cell>
          <cell r="C33">
            <v>964489.7</v>
          </cell>
          <cell r="D33">
            <v>37095.760000000002</v>
          </cell>
          <cell r="E33">
            <v>240337.55</v>
          </cell>
        </row>
        <row r="34">
          <cell r="B34">
            <v>11036</v>
          </cell>
          <cell r="C34">
            <v>1018622.72</v>
          </cell>
          <cell r="D34">
            <v>39177.800000000003</v>
          </cell>
          <cell r="E34">
            <v>43772.54</v>
          </cell>
        </row>
        <row r="35">
          <cell r="B35">
            <v>11037</v>
          </cell>
          <cell r="C35">
            <v>725791.42</v>
          </cell>
          <cell r="D35">
            <v>27915.05</v>
          </cell>
          <cell r="E35">
            <v>16815.29</v>
          </cell>
        </row>
        <row r="36">
          <cell r="B36">
            <v>11038</v>
          </cell>
          <cell r="C36">
            <v>940483.29</v>
          </cell>
          <cell r="D36">
            <v>36172.43</v>
          </cell>
          <cell r="E36">
            <v>14677.85</v>
          </cell>
        </row>
        <row r="37">
          <cell r="B37">
            <v>11039</v>
          </cell>
          <cell r="C37">
            <v>874520.52</v>
          </cell>
          <cell r="D37">
            <v>33635.4</v>
          </cell>
          <cell r="E37">
            <v>348935.53</v>
          </cell>
        </row>
        <row r="38">
          <cell r="B38">
            <v>11040</v>
          </cell>
          <cell r="C38">
            <v>877194.35</v>
          </cell>
          <cell r="D38">
            <v>33738.239999999998</v>
          </cell>
          <cell r="E38">
            <v>262234.58</v>
          </cell>
        </row>
        <row r="39">
          <cell r="B39">
            <v>11041</v>
          </cell>
          <cell r="C39">
            <v>866168.63</v>
          </cell>
          <cell r="D39">
            <v>33314.18</v>
          </cell>
          <cell r="E39">
            <v>267288.71999999997</v>
          </cell>
        </row>
        <row r="40">
          <cell r="B40">
            <v>11042</v>
          </cell>
          <cell r="C40">
            <v>685506.67</v>
          </cell>
          <cell r="D40">
            <v>26365.64</v>
          </cell>
          <cell r="E40">
            <v>-3501.5</v>
          </cell>
        </row>
        <row r="41">
          <cell r="B41">
            <v>11043</v>
          </cell>
          <cell r="C41">
            <v>844066.52</v>
          </cell>
          <cell r="D41">
            <v>32464.1</v>
          </cell>
          <cell r="E41">
            <v>159858.07</v>
          </cell>
        </row>
        <row r="42">
          <cell r="B42">
            <v>11044</v>
          </cell>
          <cell r="C42">
            <v>880828.42</v>
          </cell>
          <cell r="D42">
            <v>33878.019999999997</v>
          </cell>
          <cell r="E42">
            <v>158773.26</v>
          </cell>
        </row>
        <row r="43">
          <cell r="B43">
            <v>11045</v>
          </cell>
          <cell r="C43">
            <v>857469.96</v>
          </cell>
          <cell r="D43">
            <v>32979.61</v>
          </cell>
          <cell r="E43">
            <v>165652.65</v>
          </cell>
        </row>
        <row r="44">
          <cell r="B44">
            <v>11046</v>
          </cell>
          <cell r="C44">
            <v>745325.02</v>
          </cell>
          <cell r="D44">
            <v>28666.35</v>
          </cell>
          <cell r="E44">
            <v>218799.98</v>
          </cell>
        </row>
        <row r="45">
          <cell r="B45">
            <v>11047</v>
          </cell>
          <cell r="C45">
            <v>774188.76</v>
          </cell>
          <cell r="D45">
            <v>29776.49</v>
          </cell>
          <cell r="E45">
            <v>234337.48</v>
          </cell>
        </row>
        <row r="46">
          <cell r="B46">
            <v>11048</v>
          </cell>
          <cell r="C46">
            <v>1138891.7</v>
          </cell>
          <cell r="D46">
            <v>43803.53</v>
          </cell>
          <cell r="E46">
            <v>-2151.42</v>
          </cell>
        </row>
        <row r="47">
          <cell r="B47">
            <v>11049</v>
          </cell>
          <cell r="C47">
            <v>767880.29</v>
          </cell>
          <cell r="D47">
            <v>29533.86</v>
          </cell>
          <cell r="E47">
            <v>-18374.810000000001</v>
          </cell>
        </row>
        <row r="48">
          <cell r="B48">
            <v>11050</v>
          </cell>
          <cell r="C48">
            <v>764782.64</v>
          </cell>
          <cell r="D48">
            <v>29414.720000000001</v>
          </cell>
          <cell r="E48">
            <v>-14628.95</v>
          </cell>
        </row>
        <row r="49">
          <cell r="B49">
            <v>11051</v>
          </cell>
          <cell r="C49">
            <v>773757.63</v>
          </cell>
          <cell r="D49">
            <v>29759.91</v>
          </cell>
          <cell r="E49">
            <v>117545.13</v>
          </cell>
        </row>
        <row r="50">
          <cell r="B50">
            <v>11052</v>
          </cell>
          <cell r="C50">
            <v>771585.58</v>
          </cell>
          <cell r="D50">
            <v>29676.37</v>
          </cell>
          <cell r="E50">
            <v>78236.91</v>
          </cell>
        </row>
        <row r="51">
          <cell r="B51">
            <v>11053</v>
          </cell>
          <cell r="C51">
            <v>779368.3</v>
          </cell>
          <cell r="D51">
            <v>29975.7</v>
          </cell>
          <cell r="E51">
            <v>174334.47</v>
          </cell>
        </row>
        <row r="52">
          <cell r="B52">
            <v>11054</v>
          </cell>
          <cell r="C52">
            <v>730364.99</v>
          </cell>
          <cell r="D52">
            <v>28090.959999999999</v>
          </cell>
          <cell r="E52">
            <v>203560.86</v>
          </cell>
        </row>
        <row r="53">
          <cell r="B53">
            <v>11055</v>
          </cell>
          <cell r="C53">
            <v>852682.49</v>
          </cell>
          <cell r="D53">
            <v>32795.480000000003</v>
          </cell>
          <cell r="E53">
            <v>229369.37</v>
          </cell>
        </row>
        <row r="54">
          <cell r="B54">
            <v>11056</v>
          </cell>
          <cell r="C54">
            <v>900525.44</v>
          </cell>
          <cell r="D54">
            <v>34635.589999999997</v>
          </cell>
          <cell r="E54">
            <v>0</v>
          </cell>
        </row>
        <row r="55">
          <cell r="B55">
            <v>11057</v>
          </cell>
          <cell r="C55">
            <v>908399.04</v>
          </cell>
          <cell r="D55">
            <v>34938.42</v>
          </cell>
          <cell r="E55">
            <v>0</v>
          </cell>
        </row>
        <row r="56">
          <cell r="B56">
            <v>11058</v>
          </cell>
          <cell r="C56">
            <v>745400.01</v>
          </cell>
          <cell r="D56">
            <v>28669.23</v>
          </cell>
          <cell r="E56">
            <v>172013.46</v>
          </cell>
        </row>
        <row r="57">
          <cell r="B57">
            <v>11059</v>
          </cell>
          <cell r="C57">
            <v>799734.43</v>
          </cell>
          <cell r="D57">
            <v>30759.02</v>
          </cell>
          <cell r="E57">
            <v>82779.210000000006</v>
          </cell>
        </row>
        <row r="58">
          <cell r="B58">
            <v>11060</v>
          </cell>
          <cell r="C58">
            <v>785909.53</v>
          </cell>
          <cell r="D58">
            <v>30227.29</v>
          </cell>
          <cell r="E58">
            <v>50472.27</v>
          </cell>
        </row>
        <row r="59">
          <cell r="B59">
            <v>11061</v>
          </cell>
          <cell r="C59">
            <v>715785.54</v>
          </cell>
          <cell r="D59">
            <v>27530.21</v>
          </cell>
          <cell r="E59">
            <v>43302.37</v>
          </cell>
        </row>
        <row r="60">
          <cell r="B60">
            <v>11062</v>
          </cell>
          <cell r="C60">
            <v>996240.59</v>
          </cell>
          <cell r="D60">
            <v>38316.949999999997</v>
          </cell>
          <cell r="E60">
            <v>0</v>
          </cell>
        </row>
        <row r="61">
          <cell r="B61">
            <v>11063</v>
          </cell>
          <cell r="C61">
            <v>955071.57</v>
          </cell>
          <cell r="D61">
            <v>36733.519999999997</v>
          </cell>
          <cell r="E61">
            <v>193896.5</v>
          </cell>
        </row>
        <row r="62">
          <cell r="B62">
            <v>11064</v>
          </cell>
          <cell r="C62">
            <v>934266.47</v>
          </cell>
          <cell r="D62">
            <v>35933.33</v>
          </cell>
          <cell r="E62">
            <v>88657.29</v>
          </cell>
        </row>
        <row r="63">
          <cell r="B63">
            <v>11065</v>
          </cell>
          <cell r="C63">
            <v>1298527.3600000001</v>
          </cell>
          <cell r="D63">
            <v>49943.360000000001</v>
          </cell>
          <cell r="E63">
            <v>41817.17</v>
          </cell>
        </row>
        <row r="64">
          <cell r="B64">
            <v>11066</v>
          </cell>
          <cell r="C64">
            <v>1261907.83</v>
          </cell>
          <cell r="D64">
            <v>48534.92</v>
          </cell>
          <cell r="E64">
            <v>147245.98000000001</v>
          </cell>
        </row>
        <row r="65">
          <cell r="B65">
            <v>11067</v>
          </cell>
          <cell r="C65">
            <v>1173362.8799999999</v>
          </cell>
          <cell r="D65">
            <v>45129.34</v>
          </cell>
          <cell r="E65">
            <v>122064.4</v>
          </cell>
        </row>
        <row r="66">
          <cell r="B66">
            <v>11068</v>
          </cell>
          <cell r="C66">
            <v>1279587.5900000001</v>
          </cell>
          <cell r="D66">
            <v>49214.91</v>
          </cell>
          <cell r="E66">
            <v>16601.48</v>
          </cell>
        </row>
        <row r="67">
          <cell r="B67">
            <v>11069</v>
          </cell>
          <cell r="C67">
            <v>744924.67</v>
          </cell>
          <cell r="D67">
            <v>28650.95</v>
          </cell>
          <cell r="E67">
            <v>213283.58</v>
          </cell>
        </row>
        <row r="68">
          <cell r="B68">
            <v>11070</v>
          </cell>
          <cell r="C68">
            <v>1276090.56</v>
          </cell>
          <cell r="D68">
            <v>49080.41</v>
          </cell>
          <cell r="E68">
            <v>25477.97</v>
          </cell>
        </row>
        <row r="69">
          <cell r="B69">
            <v>11071</v>
          </cell>
          <cell r="C69">
            <v>810833.8</v>
          </cell>
          <cell r="D69">
            <v>31185.919999999998</v>
          </cell>
          <cell r="E69">
            <v>137236.20000000001</v>
          </cell>
        </row>
        <row r="70">
          <cell r="B70">
            <v>11072</v>
          </cell>
          <cell r="C70">
            <v>991323.63</v>
          </cell>
          <cell r="D70">
            <v>38127.83</v>
          </cell>
          <cell r="E70">
            <v>109380.59</v>
          </cell>
        </row>
        <row r="71">
          <cell r="B71">
            <v>11073</v>
          </cell>
          <cell r="C71">
            <v>832170.82</v>
          </cell>
          <cell r="D71">
            <v>32006.57</v>
          </cell>
          <cell r="E71">
            <v>61299.58</v>
          </cell>
        </row>
        <row r="72">
          <cell r="B72">
            <v>11074</v>
          </cell>
          <cell r="C72">
            <v>1130674.3</v>
          </cell>
          <cell r="D72">
            <v>43487.47</v>
          </cell>
          <cell r="E72">
            <v>240843.93</v>
          </cell>
        </row>
        <row r="73">
          <cell r="B73">
            <v>11075</v>
          </cell>
          <cell r="C73">
            <v>1107124.93</v>
          </cell>
          <cell r="D73">
            <v>42581.73</v>
          </cell>
          <cell r="E73">
            <v>50909.7</v>
          </cell>
        </row>
        <row r="74">
          <cell r="B74">
            <v>11076</v>
          </cell>
          <cell r="C74">
            <v>999664</v>
          </cell>
          <cell r="D74">
            <v>38448.620000000003</v>
          </cell>
          <cell r="E74">
            <v>0</v>
          </cell>
        </row>
        <row r="75">
          <cell r="B75">
            <v>11077</v>
          </cell>
          <cell r="C75">
            <v>990287.28</v>
          </cell>
          <cell r="D75">
            <v>38087.97</v>
          </cell>
          <cell r="E75">
            <v>251326.66</v>
          </cell>
        </row>
        <row r="76">
          <cell r="B76">
            <v>11078</v>
          </cell>
          <cell r="C76">
            <v>831739.3</v>
          </cell>
          <cell r="D76">
            <v>31989.97</v>
          </cell>
          <cell r="E76">
            <v>344783.77</v>
          </cell>
        </row>
        <row r="77">
          <cell r="B77">
            <v>11079</v>
          </cell>
          <cell r="C77">
            <v>1000204.7</v>
          </cell>
          <cell r="D77">
            <v>38469.410000000003</v>
          </cell>
          <cell r="E77">
            <v>223011.3</v>
          </cell>
        </row>
        <row r="78">
          <cell r="B78">
            <v>11080</v>
          </cell>
          <cell r="C78">
            <v>807549.06</v>
          </cell>
          <cell r="D78">
            <v>31059.58</v>
          </cell>
          <cell r="E78">
            <v>238703.2</v>
          </cell>
        </row>
        <row r="79">
          <cell r="B79">
            <v>11081</v>
          </cell>
          <cell r="C79">
            <v>970097.92</v>
          </cell>
          <cell r="D79">
            <v>37311.46</v>
          </cell>
          <cell r="E79">
            <v>181658.15</v>
          </cell>
        </row>
        <row r="80">
          <cell r="B80">
            <v>11082</v>
          </cell>
          <cell r="C80">
            <v>1033889.73</v>
          </cell>
          <cell r="D80">
            <v>39764.99</v>
          </cell>
          <cell r="E80">
            <v>153823.56</v>
          </cell>
        </row>
        <row r="81">
          <cell r="B81">
            <v>11083</v>
          </cell>
          <cell r="C81">
            <v>826184.81</v>
          </cell>
          <cell r="D81">
            <v>31776.34</v>
          </cell>
          <cell r="E81">
            <v>240017.23</v>
          </cell>
        </row>
        <row r="82">
          <cell r="B82">
            <v>11084</v>
          </cell>
          <cell r="C82">
            <v>780634.3</v>
          </cell>
          <cell r="D82">
            <v>30024.400000000001</v>
          </cell>
          <cell r="E82">
            <v>238654.55</v>
          </cell>
        </row>
        <row r="83">
          <cell r="B83">
            <v>11085</v>
          </cell>
          <cell r="C83">
            <v>1015227.89</v>
          </cell>
          <cell r="D83">
            <v>39047.230000000003</v>
          </cell>
          <cell r="E83">
            <v>34917.53</v>
          </cell>
        </row>
        <row r="84">
          <cell r="B84">
            <v>11086</v>
          </cell>
          <cell r="C84">
            <v>1157478.69</v>
          </cell>
          <cell r="D84">
            <v>44518.41</v>
          </cell>
          <cell r="E84">
            <v>90882.32</v>
          </cell>
        </row>
        <row r="85">
          <cell r="B85">
            <v>11087</v>
          </cell>
          <cell r="C85">
            <v>937301.84</v>
          </cell>
          <cell r="D85">
            <v>36050.07</v>
          </cell>
          <cell r="E85">
            <v>90236.03</v>
          </cell>
        </row>
        <row r="86">
          <cell r="B86">
            <v>11088</v>
          </cell>
          <cell r="C86">
            <v>1164455.93</v>
          </cell>
          <cell r="D86">
            <v>44786.77</v>
          </cell>
          <cell r="E86">
            <v>294045.96000000002</v>
          </cell>
        </row>
        <row r="87">
          <cell r="B87">
            <v>11089</v>
          </cell>
          <cell r="C87">
            <v>1135830.18</v>
          </cell>
          <cell r="D87">
            <v>43685.78</v>
          </cell>
          <cell r="E87">
            <v>203553.37</v>
          </cell>
        </row>
        <row r="88">
          <cell r="B88">
            <v>11090</v>
          </cell>
          <cell r="C88">
            <v>1118617.02</v>
          </cell>
          <cell r="D88">
            <v>43023.73</v>
          </cell>
          <cell r="E88">
            <v>198198.68</v>
          </cell>
        </row>
        <row r="89">
          <cell r="B89">
            <v>11091</v>
          </cell>
          <cell r="C89">
            <v>970570.89</v>
          </cell>
          <cell r="D89">
            <v>37329.65</v>
          </cell>
          <cell r="E89">
            <v>193461.89</v>
          </cell>
        </row>
        <row r="90">
          <cell r="B90">
            <v>11092</v>
          </cell>
          <cell r="C90">
            <v>669941.04</v>
          </cell>
          <cell r="D90">
            <v>25766.959999999999</v>
          </cell>
          <cell r="E90">
            <v>84107.93</v>
          </cell>
        </row>
        <row r="91">
          <cell r="B91">
            <v>11093</v>
          </cell>
          <cell r="C91">
            <v>1046072.89</v>
          </cell>
          <cell r="D91">
            <v>40233.57</v>
          </cell>
          <cell r="E91">
            <v>0</v>
          </cell>
        </row>
        <row r="92">
          <cell r="B92">
            <v>11094</v>
          </cell>
          <cell r="C92">
            <v>985060.88</v>
          </cell>
          <cell r="D92">
            <v>37886.959999999999</v>
          </cell>
          <cell r="E92">
            <v>0</v>
          </cell>
        </row>
        <row r="93">
          <cell r="B93">
            <v>11095</v>
          </cell>
          <cell r="C93">
            <v>830469.23</v>
          </cell>
          <cell r="D93">
            <v>31941.119999999999</v>
          </cell>
          <cell r="E93">
            <v>70460.86</v>
          </cell>
        </row>
        <row r="94">
          <cell r="B94">
            <v>11096</v>
          </cell>
          <cell r="C94">
            <v>822846.82</v>
          </cell>
          <cell r="D94">
            <v>31647.95</v>
          </cell>
          <cell r="E94">
            <v>61037.78</v>
          </cell>
        </row>
        <row r="95">
          <cell r="B95">
            <v>11097</v>
          </cell>
          <cell r="C95">
            <v>861993.67</v>
          </cell>
          <cell r="D95">
            <v>33153.599999999999</v>
          </cell>
          <cell r="E95">
            <v>163602.41</v>
          </cell>
        </row>
        <row r="96">
          <cell r="B96">
            <v>11098</v>
          </cell>
          <cell r="C96">
            <v>715014.85</v>
          </cell>
          <cell r="D96">
            <v>27500.57</v>
          </cell>
          <cell r="E96">
            <v>107110.54</v>
          </cell>
        </row>
        <row r="97">
          <cell r="B97">
            <v>11099</v>
          </cell>
          <cell r="C97">
            <v>877513.93</v>
          </cell>
          <cell r="D97">
            <v>33750.54</v>
          </cell>
          <cell r="E97">
            <v>150936.82999999999</v>
          </cell>
        </row>
        <row r="98">
          <cell r="B98">
            <v>11100</v>
          </cell>
          <cell r="C98">
            <v>1292365.27</v>
          </cell>
          <cell r="D98">
            <v>49706.36</v>
          </cell>
          <cell r="E98">
            <v>367193.29</v>
          </cell>
        </row>
        <row r="99">
          <cell r="B99">
            <v>11101</v>
          </cell>
          <cell r="C99">
            <v>606105.25</v>
          </cell>
          <cell r="D99">
            <v>23311.74</v>
          </cell>
          <cell r="E99">
            <v>50509.01</v>
          </cell>
        </row>
        <row r="100">
          <cell r="B100">
            <v>11102</v>
          </cell>
          <cell r="C100">
            <v>1298128.21</v>
          </cell>
          <cell r="D100">
            <v>49928.01</v>
          </cell>
          <cell r="E100">
            <v>224853.39</v>
          </cell>
        </row>
        <row r="101">
          <cell r="B101">
            <v>11103</v>
          </cell>
          <cell r="C101">
            <v>1019305.56</v>
          </cell>
          <cell r="D101">
            <v>39204.06</v>
          </cell>
          <cell r="E101">
            <v>156416.85999999999</v>
          </cell>
        </row>
        <row r="102">
          <cell r="B102">
            <v>11104</v>
          </cell>
          <cell r="C102">
            <v>947405.32</v>
          </cell>
          <cell r="D102">
            <v>36438.67</v>
          </cell>
          <cell r="E102">
            <v>215473.07</v>
          </cell>
        </row>
        <row r="103">
          <cell r="B103">
            <v>11105</v>
          </cell>
          <cell r="C103">
            <v>650454.97</v>
          </cell>
          <cell r="D103">
            <v>25017.5</v>
          </cell>
          <cell r="E103">
            <v>124389.87</v>
          </cell>
        </row>
        <row r="104">
          <cell r="B104">
            <v>11106</v>
          </cell>
          <cell r="C104">
            <v>1089081.6100000001</v>
          </cell>
          <cell r="D104">
            <v>41887.75</v>
          </cell>
          <cell r="E104">
            <v>0</v>
          </cell>
        </row>
        <row r="105">
          <cell r="B105">
            <v>11107</v>
          </cell>
          <cell r="C105">
            <v>1043186.51</v>
          </cell>
          <cell r="D105">
            <v>40122.559999999998</v>
          </cell>
          <cell r="E105">
            <v>0</v>
          </cell>
        </row>
        <row r="106">
          <cell r="B106">
            <v>11108</v>
          </cell>
          <cell r="C106">
            <v>990155.13</v>
          </cell>
          <cell r="D106">
            <v>38082.89</v>
          </cell>
          <cell r="E106">
            <v>74680.84</v>
          </cell>
        </row>
        <row r="107">
          <cell r="B107">
            <v>11109</v>
          </cell>
          <cell r="C107">
            <v>1014404.92</v>
          </cell>
          <cell r="D107">
            <v>39015.57</v>
          </cell>
          <cell r="E107">
            <v>72623.56</v>
          </cell>
        </row>
        <row r="108">
          <cell r="B108">
            <v>11110</v>
          </cell>
          <cell r="C108">
            <v>1106402.28</v>
          </cell>
          <cell r="D108">
            <v>42553.93</v>
          </cell>
          <cell r="E108">
            <v>144234.1</v>
          </cell>
        </row>
        <row r="109">
          <cell r="B109">
            <v>11111</v>
          </cell>
          <cell r="C109">
            <v>972200.53</v>
          </cell>
          <cell r="D109">
            <v>37392.33</v>
          </cell>
          <cell r="E109">
            <v>11759.74</v>
          </cell>
        </row>
        <row r="110">
          <cell r="B110">
            <v>11112</v>
          </cell>
          <cell r="C110">
            <v>695193.55</v>
          </cell>
          <cell r="D110">
            <v>26738.21</v>
          </cell>
          <cell r="E110">
            <v>15836.57</v>
          </cell>
        </row>
        <row r="111">
          <cell r="B111">
            <v>11113</v>
          </cell>
          <cell r="C111">
            <v>952236.81</v>
          </cell>
          <cell r="D111">
            <v>36624.49</v>
          </cell>
          <cell r="E111">
            <v>25200.2</v>
          </cell>
        </row>
        <row r="112">
          <cell r="B112">
            <v>11114</v>
          </cell>
          <cell r="C112">
            <v>791477.62</v>
          </cell>
          <cell r="D112">
            <v>30441.45</v>
          </cell>
          <cell r="E112">
            <v>85769.76</v>
          </cell>
        </row>
        <row r="113">
          <cell r="B113">
            <v>11115</v>
          </cell>
          <cell r="C113">
            <v>939288.11</v>
          </cell>
          <cell r="D113">
            <v>36126.47</v>
          </cell>
          <cell r="E113">
            <v>5644.68</v>
          </cell>
        </row>
        <row r="114">
          <cell r="B114">
            <v>11116</v>
          </cell>
          <cell r="C114">
            <v>693669.2</v>
          </cell>
          <cell r="D114">
            <v>26679.58</v>
          </cell>
          <cell r="E114">
            <v>19408.71</v>
          </cell>
        </row>
        <row r="115">
          <cell r="B115">
            <v>11117</v>
          </cell>
          <cell r="C115">
            <v>978768.26</v>
          </cell>
          <cell r="D115">
            <v>37644.93</v>
          </cell>
          <cell r="E115">
            <v>58294.3</v>
          </cell>
        </row>
        <row r="116">
          <cell r="B116">
            <v>11118</v>
          </cell>
          <cell r="C116">
            <v>814761.16</v>
          </cell>
          <cell r="D116">
            <v>31336.97</v>
          </cell>
          <cell r="E116">
            <v>9064.7900000000009</v>
          </cell>
        </row>
        <row r="117">
          <cell r="B117">
            <v>11119</v>
          </cell>
          <cell r="C117">
            <v>763400.36</v>
          </cell>
          <cell r="D117">
            <v>29361.55</v>
          </cell>
          <cell r="E117">
            <v>19428.830000000002</v>
          </cell>
        </row>
        <row r="118">
          <cell r="B118">
            <v>11120</v>
          </cell>
          <cell r="C118">
            <v>970597.56</v>
          </cell>
          <cell r="D118">
            <v>37330.68</v>
          </cell>
          <cell r="E118">
            <v>44216.480000000003</v>
          </cell>
        </row>
        <row r="119">
          <cell r="B119">
            <v>11121</v>
          </cell>
          <cell r="C119">
            <v>780204.75</v>
          </cell>
          <cell r="D119">
            <v>30007.88</v>
          </cell>
          <cell r="E119">
            <v>126388.64</v>
          </cell>
        </row>
        <row r="120">
          <cell r="B120">
            <v>11122</v>
          </cell>
          <cell r="C120">
            <v>998133.14</v>
          </cell>
          <cell r="D120">
            <v>38389.74</v>
          </cell>
          <cell r="E120">
            <v>74779.64</v>
          </cell>
        </row>
        <row r="121">
          <cell r="B121">
            <v>11123</v>
          </cell>
          <cell r="C121">
            <v>962564.5</v>
          </cell>
          <cell r="D121">
            <v>37021.71</v>
          </cell>
          <cell r="E121">
            <v>66143.94</v>
          </cell>
        </row>
        <row r="122">
          <cell r="B122">
            <v>11124</v>
          </cell>
          <cell r="C122">
            <v>868390.1</v>
          </cell>
          <cell r="D122">
            <v>33399.620000000003</v>
          </cell>
          <cell r="E122">
            <v>34540.58</v>
          </cell>
        </row>
        <row r="123">
          <cell r="B123">
            <v>11125</v>
          </cell>
          <cell r="C123">
            <v>968967.95</v>
          </cell>
          <cell r="D123">
            <v>37268</v>
          </cell>
          <cell r="E123">
            <v>25134.720000000001</v>
          </cell>
        </row>
        <row r="124">
          <cell r="B124">
            <v>11126</v>
          </cell>
          <cell r="C124">
            <v>957848.98</v>
          </cell>
          <cell r="D124">
            <v>36840.35</v>
          </cell>
          <cell r="E124">
            <v>25643.95</v>
          </cell>
        </row>
        <row r="125">
          <cell r="B125">
            <v>11127</v>
          </cell>
          <cell r="C125">
            <v>956571.94</v>
          </cell>
          <cell r="D125">
            <v>36791.230000000003</v>
          </cell>
          <cell r="E125">
            <v>28205.43</v>
          </cell>
        </row>
        <row r="126">
          <cell r="B126">
            <v>11128</v>
          </cell>
          <cell r="C126">
            <v>1006675.68</v>
          </cell>
          <cell r="D126">
            <v>38718.300000000003</v>
          </cell>
          <cell r="E126">
            <v>0</v>
          </cell>
        </row>
        <row r="127">
          <cell r="B127">
            <v>11129</v>
          </cell>
          <cell r="C127">
            <v>1003579.75</v>
          </cell>
          <cell r="D127">
            <v>38599.22</v>
          </cell>
          <cell r="E127">
            <v>-3088.46</v>
          </cell>
        </row>
        <row r="128">
          <cell r="B128">
            <v>11130</v>
          </cell>
          <cell r="C128">
            <v>925751.32</v>
          </cell>
          <cell r="D128">
            <v>35605.82</v>
          </cell>
          <cell r="E128">
            <v>0</v>
          </cell>
        </row>
        <row r="129">
          <cell r="B129">
            <v>11131</v>
          </cell>
          <cell r="C129">
            <v>955992.57</v>
          </cell>
          <cell r="D129">
            <v>36768.94</v>
          </cell>
          <cell r="E129">
            <v>0</v>
          </cell>
        </row>
        <row r="130">
          <cell r="B130">
            <v>11132</v>
          </cell>
          <cell r="C130">
            <v>1024197.59</v>
          </cell>
          <cell r="D130">
            <v>39392.21</v>
          </cell>
          <cell r="E130">
            <v>0</v>
          </cell>
        </row>
        <row r="131">
          <cell r="B131">
            <v>11133</v>
          </cell>
          <cell r="C131">
            <v>1156558.46</v>
          </cell>
          <cell r="D131">
            <v>44483.02</v>
          </cell>
          <cell r="E131">
            <v>0</v>
          </cell>
        </row>
        <row r="132">
          <cell r="B132">
            <v>11134</v>
          </cell>
          <cell r="C132">
            <v>745841.38</v>
          </cell>
          <cell r="D132">
            <v>28686.21</v>
          </cell>
          <cell r="E132">
            <v>213088.02</v>
          </cell>
        </row>
        <row r="133">
          <cell r="B133">
            <v>11135</v>
          </cell>
          <cell r="C133">
            <v>952376.78</v>
          </cell>
          <cell r="D133">
            <v>36629.879999999997</v>
          </cell>
          <cell r="E133">
            <v>483741.78</v>
          </cell>
        </row>
        <row r="134">
          <cell r="B134">
            <v>11136</v>
          </cell>
          <cell r="C134">
            <v>791358.13</v>
          </cell>
          <cell r="D134">
            <v>30436.85</v>
          </cell>
          <cell r="E134">
            <v>288020.62</v>
          </cell>
        </row>
        <row r="135">
          <cell r="B135">
            <v>11137</v>
          </cell>
          <cell r="C135">
            <v>916585.57</v>
          </cell>
          <cell r="D135">
            <v>35253.29</v>
          </cell>
          <cell r="E135">
            <v>351628.12</v>
          </cell>
        </row>
        <row r="136">
          <cell r="B136">
            <v>11138</v>
          </cell>
          <cell r="C136">
            <v>1097185.99</v>
          </cell>
          <cell r="D136">
            <v>42199.46</v>
          </cell>
          <cell r="E136">
            <v>0</v>
          </cell>
        </row>
        <row r="137">
          <cell r="B137">
            <v>11139</v>
          </cell>
          <cell r="C137">
            <v>1108516.3899999999</v>
          </cell>
          <cell r="D137">
            <v>42635.25</v>
          </cell>
          <cell r="E137">
            <v>620000.1</v>
          </cell>
        </row>
        <row r="138">
          <cell r="B138">
            <v>11730</v>
          </cell>
          <cell r="C138">
            <v>915091.33</v>
          </cell>
          <cell r="D138">
            <v>35195.82</v>
          </cell>
          <cell r="E138">
            <v>83933.92</v>
          </cell>
        </row>
        <row r="139">
          <cell r="B139">
            <v>11811</v>
          </cell>
          <cell r="C139">
            <v>1218800.1100000001</v>
          </cell>
          <cell r="D139">
            <v>46876.93</v>
          </cell>
          <cell r="E139">
            <v>0</v>
          </cell>
        </row>
        <row r="140">
          <cell r="B140">
            <v>12061</v>
          </cell>
          <cell r="C140">
            <v>958894.18</v>
          </cell>
          <cell r="D140">
            <v>36880.550000000003</v>
          </cell>
          <cell r="E140">
            <v>79079.149999999994</v>
          </cell>
        </row>
        <row r="141">
          <cell r="B141">
            <v>12062</v>
          </cell>
          <cell r="C141">
            <v>916857.93</v>
          </cell>
          <cell r="D141">
            <v>35263.769999999997</v>
          </cell>
          <cell r="E141">
            <v>8812.1299999999992</v>
          </cell>
        </row>
        <row r="142">
          <cell r="B142">
            <v>12225</v>
          </cell>
          <cell r="C142">
            <v>1168086.67</v>
          </cell>
          <cell r="D142">
            <v>44926.41</v>
          </cell>
          <cell r="E142">
            <v>418206.27</v>
          </cell>
        </row>
        <row r="143">
          <cell r="B143">
            <v>12226</v>
          </cell>
          <cell r="C143">
            <v>777707.17</v>
          </cell>
          <cell r="D143">
            <v>29911.81</v>
          </cell>
          <cell r="E143">
            <v>96039.37</v>
          </cell>
        </row>
        <row r="144">
          <cell r="B144">
            <v>12227</v>
          </cell>
          <cell r="C144">
            <v>835885.27</v>
          </cell>
          <cell r="D144">
            <v>32149.43</v>
          </cell>
          <cell r="E144">
            <v>73910.83</v>
          </cell>
        </row>
        <row r="145">
          <cell r="B145">
            <v>12228</v>
          </cell>
          <cell r="C145">
            <v>1102716.46</v>
          </cell>
          <cell r="D145">
            <v>42412.17</v>
          </cell>
          <cell r="E145">
            <v>0</v>
          </cell>
        </row>
        <row r="146">
          <cell r="B146">
            <v>12229</v>
          </cell>
          <cell r="C146">
            <v>1352552.45</v>
          </cell>
          <cell r="D146">
            <v>52021.25</v>
          </cell>
          <cell r="E146">
            <v>0</v>
          </cell>
        </row>
        <row r="147">
          <cell r="B147">
            <v>12230</v>
          </cell>
          <cell r="C147">
            <v>682907.68</v>
          </cell>
          <cell r="D147">
            <v>26265.68</v>
          </cell>
          <cell r="E147">
            <v>314960.39</v>
          </cell>
        </row>
        <row r="148">
          <cell r="B148">
            <v>12291</v>
          </cell>
          <cell r="C148">
            <v>960070.37</v>
          </cell>
          <cell r="D148">
            <v>36925.78</v>
          </cell>
          <cell r="E148">
            <v>218998.05</v>
          </cell>
        </row>
        <row r="149">
          <cell r="B149">
            <v>12292</v>
          </cell>
          <cell r="C149">
            <v>832143.68</v>
          </cell>
          <cell r="D149">
            <v>32005.53</v>
          </cell>
          <cell r="E149">
            <v>213588.54</v>
          </cell>
        </row>
        <row r="150">
          <cell r="B150">
            <v>12293</v>
          </cell>
          <cell r="C150">
            <v>818937.53</v>
          </cell>
          <cell r="D150">
            <v>31497.599999999999</v>
          </cell>
          <cell r="E150">
            <v>-8136.52</v>
          </cell>
        </row>
        <row r="151">
          <cell r="B151">
            <v>12294</v>
          </cell>
          <cell r="C151">
            <v>966529.57</v>
          </cell>
          <cell r="D151">
            <v>37174.21</v>
          </cell>
          <cell r="E151">
            <v>44535.72</v>
          </cell>
        </row>
        <row r="152">
          <cell r="B152">
            <v>12298</v>
          </cell>
          <cell r="C152">
            <v>1045617.17</v>
          </cell>
          <cell r="D152">
            <v>40216.04</v>
          </cell>
          <cell r="E152">
            <v>0</v>
          </cell>
        </row>
        <row r="153">
          <cell r="B153">
            <v>12335</v>
          </cell>
          <cell r="C153">
            <v>887906.66</v>
          </cell>
          <cell r="D153">
            <v>34150.26</v>
          </cell>
          <cell r="E153">
            <v>52451.27</v>
          </cell>
        </row>
        <row r="154">
          <cell r="B154">
            <v>12337</v>
          </cell>
          <cell r="C154">
            <v>859804.49</v>
          </cell>
          <cell r="D154">
            <v>33069.4</v>
          </cell>
          <cell r="E154">
            <v>195600.18</v>
          </cell>
        </row>
        <row r="155">
          <cell r="B155">
            <v>12343</v>
          </cell>
          <cell r="C155">
            <v>480192.5</v>
          </cell>
          <cell r="D155">
            <v>18468.939999999999</v>
          </cell>
          <cell r="E155">
            <v>-449.78</v>
          </cell>
        </row>
        <row r="156">
          <cell r="B156">
            <v>12344</v>
          </cell>
          <cell r="C156">
            <v>1071402.6200000001</v>
          </cell>
          <cell r="D156">
            <v>41207.79</v>
          </cell>
          <cell r="E156">
            <v>507856.31</v>
          </cell>
        </row>
        <row r="157">
          <cell r="B157">
            <v>12345</v>
          </cell>
          <cell r="C157">
            <v>1015749.12</v>
          </cell>
          <cell r="D157">
            <v>39067.269999999997</v>
          </cell>
          <cell r="E157">
            <v>0</v>
          </cell>
        </row>
        <row r="158">
          <cell r="B158">
            <v>12346</v>
          </cell>
          <cell r="C158">
            <v>849351.66</v>
          </cell>
          <cell r="D158">
            <v>32667.37</v>
          </cell>
          <cell r="E158">
            <v>21584.81</v>
          </cell>
        </row>
        <row r="159">
          <cell r="B159">
            <v>12348</v>
          </cell>
          <cell r="C159">
            <v>797732.94</v>
          </cell>
          <cell r="D159">
            <v>30682.04</v>
          </cell>
          <cell r="E159">
            <v>101674.04</v>
          </cell>
        </row>
        <row r="160">
          <cell r="B160">
            <v>12406</v>
          </cell>
          <cell r="C160">
            <v>779300.07</v>
          </cell>
          <cell r="D160">
            <v>29973.08</v>
          </cell>
          <cell r="E160">
            <v>71707.91</v>
          </cell>
        </row>
        <row r="161">
          <cell r="B161">
            <v>12412</v>
          </cell>
          <cell r="C161">
            <v>696858.25</v>
          </cell>
          <cell r="D161">
            <v>26802.240000000002</v>
          </cell>
          <cell r="E161">
            <v>9764.64</v>
          </cell>
        </row>
        <row r="162">
          <cell r="B162">
            <v>12542</v>
          </cell>
          <cell r="C162">
            <v>851596.62</v>
          </cell>
          <cell r="D162">
            <v>32753.72</v>
          </cell>
          <cell r="E162">
            <v>137997.74</v>
          </cell>
        </row>
        <row r="163">
          <cell r="B163">
            <v>12543</v>
          </cell>
          <cell r="C163">
            <v>891278.1</v>
          </cell>
          <cell r="D163">
            <v>34279.93</v>
          </cell>
          <cell r="E163">
            <v>238301.25</v>
          </cell>
        </row>
        <row r="164">
          <cell r="B164">
            <v>12544</v>
          </cell>
          <cell r="C164">
            <v>957358.73</v>
          </cell>
          <cell r="D164">
            <v>36821.49</v>
          </cell>
          <cell r="E164">
            <v>101863.71</v>
          </cell>
        </row>
        <row r="165">
          <cell r="B165">
            <v>12549</v>
          </cell>
          <cell r="C165">
            <v>914653.44</v>
          </cell>
          <cell r="D165">
            <v>35178.980000000003</v>
          </cell>
          <cell r="E165">
            <v>0</v>
          </cell>
        </row>
        <row r="166">
          <cell r="B166">
            <v>12550</v>
          </cell>
          <cell r="C166">
            <v>941057.19</v>
          </cell>
          <cell r="D166">
            <v>36194.51</v>
          </cell>
          <cell r="E166">
            <v>0</v>
          </cell>
        </row>
        <row r="167">
          <cell r="B167">
            <v>12551</v>
          </cell>
          <cell r="C167">
            <v>1056880.68</v>
          </cell>
          <cell r="D167">
            <v>40649.26</v>
          </cell>
          <cell r="E167">
            <v>145236.32</v>
          </cell>
        </row>
        <row r="168">
          <cell r="B168">
            <v>12554</v>
          </cell>
          <cell r="C168">
            <v>1292462.6000000001</v>
          </cell>
          <cell r="D168">
            <v>49710.1</v>
          </cell>
          <cell r="E168">
            <v>45978.73</v>
          </cell>
        </row>
        <row r="169">
          <cell r="B169">
            <v>12555</v>
          </cell>
          <cell r="C169">
            <v>720266.81</v>
          </cell>
          <cell r="D169">
            <v>27702.57</v>
          </cell>
          <cell r="E169">
            <v>79957.58</v>
          </cell>
        </row>
        <row r="170">
          <cell r="B170">
            <v>12556</v>
          </cell>
          <cell r="C170">
            <v>796179.81</v>
          </cell>
          <cell r="D170">
            <v>30622.3</v>
          </cell>
          <cell r="E170">
            <v>208984.39</v>
          </cell>
        </row>
        <row r="171">
          <cell r="B171">
            <v>12581</v>
          </cell>
          <cell r="C171">
            <v>898472.69</v>
          </cell>
          <cell r="D171">
            <v>34556.639999999999</v>
          </cell>
          <cell r="E171">
            <v>6952.24</v>
          </cell>
        </row>
        <row r="172">
          <cell r="B172">
            <v>12582</v>
          </cell>
          <cell r="C172">
            <v>910486.34</v>
          </cell>
          <cell r="D172">
            <v>35018.71</v>
          </cell>
          <cell r="E172">
            <v>1551.72</v>
          </cell>
        </row>
        <row r="173">
          <cell r="B173">
            <v>12598</v>
          </cell>
          <cell r="C173">
            <v>990458.39</v>
          </cell>
          <cell r="D173">
            <v>38094.550000000003</v>
          </cell>
          <cell r="E173">
            <v>178555.12</v>
          </cell>
        </row>
        <row r="174">
          <cell r="B174">
            <v>12600</v>
          </cell>
          <cell r="C174">
            <v>757774.85</v>
          </cell>
          <cell r="D174">
            <v>29145.19</v>
          </cell>
          <cell r="E174">
            <v>32606.55</v>
          </cell>
        </row>
        <row r="175">
          <cell r="B175">
            <v>12601</v>
          </cell>
          <cell r="C175">
            <v>814328.89</v>
          </cell>
          <cell r="D175">
            <v>31320.34</v>
          </cell>
          <cell r="E175">
            <v>0</v>
          </cell>
        </row>
        <row r="176">
          <cell r="B176">
            <v>12602</v>
          </cell>
          <cell r="C176">
            <v>893439.22</v>
          </cell>
          <cell r="D176">
            <v>34363.050000000003</v>
          </cell>
          <cell r="E176">
            <v>208465.84</v>
          </cell>
        </row>
        <row r="177">
          <cell r="B177">
            <v>12603</v>
          </cell>
          <cell r="C177">
            <v>791640.44</v>
          </cell>
          <cell r="D177">
            <v>30447.71</v>
          </cell>
          <cell r="E177">
            <v>53787.24</v>
          </cell>
        </row>
        <row r="178">
          <cell r="B178">
            <v>12681</v>
          </cell>
          <cell r="C178">
            <v>948119.35</v>
          </cell>
          <cell r="D178">
            <v>36466.129999999997</v>
          </cell>
          <cell r="E178">
            <v>0</v>
          </cell>
        </row>
        <row r="179">
          <cell r="B179">
            <v>12908</v>
          </cell>
          <cell r="C179">
            <v>1241857.8799999999</v>
          </cell>
          <cell r="D179">
            <v>47763.76</v>
          </cell>
          <cell r="E179">
            <v>350371.27</v>
          </cell>
        </row>
        <row r="180">
          <cell r="B180">
            <v>12909</v>
          </cell>
          <cell r="C180">
            <v>968357</v>
          </cell>
          <cell r="D180">
            <v>37244.5</v>
          </cell>
          <cell r="E180">
            <v>0</v>
          </cell>
        </row>
        <row r="181">
          <cell r="B181">
            <v>12938</v>
          </cell>
          <cell r="C181">
            <v>966385.91</v>
          </cell>
          <cell r="D181">
            <v>37168.69</v>
          </cell>
          <cell r="E181">
            <v>0</v>
          </cell>
        </row>
        <row r="182">
          <cell r="B182">
            <v>12948</v>
          </cell>
          <cell r="C182">
            <v>1181322.8999999999</v>
          </cell>
          <cell r="D182">
            <v>45435.5</v>
          </cell>
          <cell r="E182">
            <v>226296.22</v>
          </cell>
        </row>
        <row r="183">
          <cell r="B183">
            <v>12949</v>
          </cell>
          <cell r="C183">
            <v>819807.96</v>
          </cell>
          <cell r="D183">
            <v>31531.08</v>
          </cell>
          <cell r="E183">
            <v>92028.54</v>
          </cell>
        </row>
        <row r="184">
          <cell r="B184">
            <v>12975</v>
          </cell>
          <cell r="C184">
            <v>833480.63</v>
          </cell>
          <cell r="D184">
            <v>32056.95</v>
          </cell>
          <cell r="E184">
            <v>226480.23</v>
          </cell>
        </row>
        <row r="185">
          <cell r="B185">
            <v>12980</v>
          </cell>
          <cell r="C185">
            <v>733213.23</v>
          </cell>
          <cell r="D185">
            <v>28200.51</v>
          </cell>
          <cell r="E185">
            <v>217412.46</v>
          </cell>
        </row>
        <row r="186">
          <cell r="B186">
            <v>13027</v>
          </cell>
          <cell r="C186">
            <v>973306.76</v>
          </cell>
          <cell r="D186">
            <v>37434.879999999997</v>
          </cell>
          <cell r="E186">
            <v>0</v>
          </cell>
        </row>
        <row r="187">
          <cell r="B187">
            <v>13028</v>
          </cell>
          <cell r="C187">
            <v>909259.36</v>
          </cell>
          <cell r="D187">
            <v>34971.51</v>
          </cell>
          <cell r="E187">
            <v>542191.35999999999</v>
          </cell>
        </row>
        <row r="188">
          <cell r="B188">
            <v>13029</v>
          </cell>
          <cell r="C188">
            <v>666474.41</v>
          </cell>
          <cell r="D188">
            <v>25633.63</v>
          </cell>
          <cell r="E188">
            <v>167440.89000000001</v>
          </cell>
        </row>
        <row r="189">
          <cell r="B189">
            <v>13033</v>
          </cell>
          <cell r="C189">
            <v>679700.87</v>
          </cell>
          <cell r="D189">
            <v>26142.34</v>
          </cell>
          <cell r="E189">
            <v>5515.03</v>
          </cell>
        </row>
        <row r="190">
          <cell r="B190">
            <v>13036</v>
          </cell>
          <cell r="C190">
            <v>918196.61</v>
          </cell>
          <cell r="D190">
            <v>35315.25</v>
          </cell>
          <cell r="E190">
            <v>359432.81</v>
          </cell>
        </row>
        <row r="191">
          <cell r="B191">
            <v>13055</v>
          </cell>
          <cell r="C191">
            <v>631485.99</v>
          </cell>
          <cell r="D191">
            <v>24287.919999999998</v>
          </cell>
          <cell r="E191">
            <v>0</v>
          </cell>
        </row>
        <row r="192">
          <cell r="B192">
            <v>13059</v>
          </cell>
          <cell r="C192">
            <v>1060471.52</v>
          </cell>
          <cell r="D192">
            <v>40787.370000000003</v>
          </cell>
          <cell r="E192">
            <v>0</v>
          </cell>
        </row>
        <row r="193">
          <cell r="B193">
            <v>13060</v>
          </cell>
          <cell r="C193">
            <v>1264518.68</v>
          </cell>
          <cell r="D193">
            <v>48635.33</v>
          </cell>
          <cell r="E193">
            <v>113999.71</v>
          </cell>
        </row>
        <row r="194">
          <cell r="B194">
            <v>13085</v>
          </cell>
          <cell r="C194">
            <v>811032.98</v>
          </cell>
          <cell r="D194">
            <v>31193.58</v>
          </cell>
          <cell r="E194">
            <v>-6150.68</v>
          </cell>
        </row>
        <row r="195">
          <cell r="B195">
            <v>13086</v>
          </cell>
          <cell r="C195">
            <v>790722.68</v>
          </cell>
          <cell r="D195">
            <v>30412.41</v>
          </cell>
          <cell r="E195">
            <v>0</v>
          </cell>
        </row>
        <row r="196">
          <cell r="B196">
            <v>13092</v>
          </cell>
          <cell r="C196">
            <v>772973.45</v>
          </cell>
          <cell r="D196">
            <v>29729.75</v>
          </cell>
          <cell r="E196">
            <v>91529.1</v>
          </cell>
        </row>
        <row r="197">
          <cell r="B197">
            <v>13093</v>
          </cell>
          <cell r="C197">
            <v>850377.41</v>
          </cell>
          <cell r="D197">
            <v>32706.82</v>
          </cell>
          <cell r="E197">
            <v>94427.92</v>
          </cell>
        </row>
        <row r="198">
          <cell r="B198">
            <v>13102</v>
          </cell>
          <cell r="C198">
            <v>828379.45</v>
          </cell>
          <cell r="D198">
            <v>31860.75</v>
          </cell>
          <cell r="E198">
            <v>58045.8</v>
          </cell>
        </row>
        <row r="199">
          <cell r="B199">
            <v>13107</v>
          </cell>
          <cell r="C199">
            <v>984369.3</v>
          </cell>
          <cell r="D199">
            <v>37860.36</v>
          </cell>
          <cell r="E199">
            <v>40215.56</v>
          </cell>
        </row>
        <row r="200">
          <cell r="B200">
            <v>13127</v>
          </cell>
          <cell r="C200">
            <v>967878.41</v>
          </cell>
          <cell r="D200">
            <v>37226.089999999997</v>
          </cell>
          <cell r="E200">
            <v>0</v>
          </cell>
        </row>
        <row r="201">
          <cell r="B201">
            <v>13175</v>
          </cell>
          <cell r="C201">
            <v>663446.68000000005</v>
          </cell>
          <cell r="D201">
            <v>25517.18</v>
          </cell>
          <cell r="E201">
            <v>35614.18</v>
          </cell>
        </row>
        <row r="202">
          <cell r="B202">
            <v>13176</v>
          </cell>
          <cell r="C202">
            <v>709798.21</v>
          </cell>
          <cell r="D202">
            <v>27299.93</v>
          </cell>
          <cell r="E202">
            <v>250546.76</v>
          </cell>
        </row>
        <row r="203">
          <cell r="B203">
            <v>13177</v>
          </cell>
          <cell r="C203">
            <v>891377.36</v>
          </cell>
          <cell r="D203">
            <v>34283.74</v>
          </cell>
          <cell r="E203">
            <v>0</v>
          </cell>
        </row>
        <row r="204">
          <cell r="B204">
            <v>13178</v>
          </cell>
          <cell r="C204">
            <v>1055974.2</v>
          </cell>
          <cell r="D204">
            <v>40614.39</v>
          </cell>
          <cell r="E204">
            <v>208356.23</v>
          </cell>
        </row>
        <row r="205">
          <cell r="B205">
            <v>13179</v>
          </cell>
          <cell r="C205">
            <v>899274.66</v>
          </cell>
          <cell r="D205">
            <v>34587.49</v>
          </cell>
          <cell r="E205">
            <v>149568.99</v>
          </cell>
        </row>
        <row r="206">
          <cell r="B206">
            <v>13236</v>
          </cell>
          <cell r="C206">
            <v>878535.99</v>
          </cell>
          <cell r="D206">
            <v>33789.85</v>
          </cell>
          <cell r="E206">
            <v>24000.34</v>
          </cell>
        </row>
        <row r="207">
          <cell r="B207">
            <v>13237</v>
          </cell>
          <cell r="C207">
            <v>843623.88</v>
          </cell>
          <cell r="D207">
            <v>32447.07</v>
          </cell>
          <cell r="E207">
            <v>56277.4</v>
          </cell>
        </row>
        <row r="208">
          <cell r="B208">
            <v>13238</v>
          </cell>
          <cell r="C208">
            <v>855629.27</v>
          </cell>
          <cell r="D208">
            <v>32908.82</v>
          </cell>
          <cell r="E208">
            <v>49754.95</v>
          </cell>
        </row>
        <row r="209">
          <cell r="B209">
            <v>13261</v>
          </cell>
          <cell r="C209">
            <v>925555.1</v>
          </cell>
          <cell r="D209">
            <v>35598.269999999997</v>
          </cell>
          <cell r="E209">
            <v>11784.09</v>
          </cell>
        </row>
        <row r="210">
          <cell r="B210">
            <v>13262</v>
          </cell>
          <cell r="C210">
            <v>746292.45</v>
          </cell>
          <cell r="D210">
            <v>28703.56</v>
          </cell>
          <cell r="E210">
            <v>104085.23</v>
          </cell>
        </row>
        <row r="211">
          <cell r="B211">
            <v>13263</v>
          </cell>
          <cell r="C211">
            <v>1187837.81</v>
          </cell>
          <cell r="D211">
            <v>45686.07</v>
          </cell>
          <cell r="E211">
            <v>85138.55</v>
          </cell>
        </row>
        <row r="212">
          <cell r="B212">
            <v>13264</v>
          </cell>
          <cell r="C212">
            <v>1092941.52</v>
          </cell>
          <cell r="D212">
            <v>42036.21</v>
          </cell>
          <cell r="E212">
            <v>195038.37</v>
          </cell>
        </row>
        <row r="213">
          <cell r="B213">
            <v>13291</v>
          </cell>
          <cell r="C213">
            <v>854888.18</v>
          </cell>
          <cell r="D213">
            <v>32880.31</v>
          </cell>
          <cell r="E213">
            <v>145677.07999999999</v>
          </cell>
        </row>
        <row r="214">
          <cell r="B214">
            <v>13308</v>
          </cell>
          <cell r="C214">
            <v>1155567.6599999999</v>
          </cell>
          <cell r="D214">
            <v>44444.91</v>
          </cell>
          <cell r="E214">
            <v>598439.59</v>
          </cell>
        </row>
        <row r="215">
          <cell r="B215">
            <v>13309</v>
          </cell>
          <cell r="C215">
            <v>868167.81</v>
          </cell>
          <cell r="D215">
            <v>33391.07</v>
          </cell>
          <cell r="E215">
            <v>0</v>
          </cell>
        </row>
        <row r="216">
          <cell r="B216">
            <v>13310</v>
          </cell>
          <cell r="C216">
            <v>769370.23</v>
          </cell>
          <cell r="D216">
            <v>29591.16</v>
          </cell>
          <cell r="E216">
            <v>64369.01</v>
          </cell>
        </row>
        <row r="217">
          <cell r="B217">
            <v>13330</v>
          </cell>
          <cell r="C217">
            <v>654028.16</v>
          </cell>
          <cell r="D217">
            <v>25154.93</v>
          </cell>
          <cell r="E217">
            <v>59094.34</v>
          </cell>
        </row>
        <row r="218">
          <cell r="B218">
            <v>13496</v>
          </cell>
          <cell r="C218">
            <v>754666.59</v>
          </cell>
          <cell r="D218">
            <v>29025.64</v>
          </cell>
          <cell r="E218">
            <v>260705.56</v>
          </cell>
        </row>
        <row r="219">
          <cell r="B219">
            <v>13613</v>
          </cell>
          <cell r="C219">
            <v>936162.72</v>
          </cell>
          <cell r="D219">
            <v>36006.26</v>
          </cell>
          <cell r="E219">
            <v>9223.4599999999991</v>
          </cell>
        </row>
        <row r="220">
          <cell r="B220">
            <v>13614</v>
          </cell>
          <cell r="C220">
            <v>1071704.27</v>
          </cell>
          <cell r="D220">
            <v>41219.4</v>
          </cell>
          <cell r="E220">
            <v>154475.4</v>
          </cell>
        </row>
        <row r="221">
          <cell r="B221">
            <v>13634</v>
          </cell>
          <cell r="C221">
            <v>869845.09</v>
          </cell>
          <cell r="D221">
            <v>33455.58</v>
          </cell>
          <cell r="E221">
            <v>75717.77</v>
          </cell>
        </row>
        <row r="222">
          <cell r="B222">
            <v>13635</v>
          </cell>
          <cell r="C222">
            <v>936033.73</v>
          </cell>
          <cell r="D222">
            <v>36001.300000000003</v>
          </cell>
          <cell r="E222">
            <v>19814.849999999999</v>
          </cell>
        </row>
        <row r="223">
          <cell r="B223">
            <v>13636</v>
          </cell>
          <cell r="C223">
            <v>1152857.6200000001</v>
          </cell>
          <cell r="D223">
            <v>44340.68</v>
          </cell>
          <cell r="E223">
            <v>7463.12</v>
          </cell>
        </row>
        <row r="224">
          <cell r="B224">
            <v>13637</v>
          </cell>
          <cell r="C224">
            <v>855153.77</v>
          </cell>
          <cell r="D224">
            <v>32890.53</v>
          </cell>
          <cell r="E224">
            <v>365719.85</v>
          </cell>
        </row>
        <row r="225">
          <cell r="B225">
            <v>13661</v>
          </cell>
          <cell r="C225">
            <v>1100445.44</v>
          </cell>
          <cell r="D225">
            <v>42324.82</v>
          </cell>
          <cell r="E225">
            <v>0</v>
          </cell>
        </row>
        <row r="226">
          <cell r="B226">
            <v>14001</v>
          </cell>
          <cell r="C226">
            <v>897116.6</v>
          </cell>
          <cell r="D226">
            <v>34504.480000000003</v>
          </cell>
          <cell r="E226">
            <v>0</v>
          </cell>
        </row>
        <row r="227">
          <cell r="B227">
            <v>14076</v>
          </cell>
          <cell r="C227">
            <v>540176.23</v>
          </cell>
          <cell r="D227">
            <v>20776.009999999998</v>
          </cell>
          <cell r="E227">
            <v>0</v>
          </cell>
        </row>
        <row r="228">
          <cell r="B228">
            <v>14511</v>
          </cell>
          <cell r="C228">
            <v>898059.99</v>
          </cell>
          <cell r="D228">
            <v>34540.769999999997</v>
          </cell>
          <cell r="E228">
            <v>241661.11</v>
          </cell>
        </row>
        <row r="229">
          <cell r="B229">
            <v>14534</v>
          </cell>
          <cell r="C229">
            <v>814324.09</v>
          </cell>
          <cell r="D229">
            <v>31320.16</v>
          </cell>
          <cell r="E229">
            <v>38026.43</v>
          </cell>
        </row>
        <row r="230">
          <cell r="B230">
            <v>14535</v>
          </cell>
          <cell r="C230">
            <v>812823.05</v>
          </cell>
          <cell r="D230">
            <v>31262.43</v>
          </cell>
          <cell r="E230">
            <v>158416.01</v>
          </cell>
        </row>
        <row r="231">
          <cell r="B231">
            <v>14536</v>
          </cell>
          <cell r="C231">
            <v>866314.22</v>
          </cell>
          <cell r="D231">
            <v>33319.78</v>
          </cell>
          <cell r="E231">
            <v>46577.09</v>
          </cell>
        </row>
        <row r="232">
          <cell r="B232">
            <v>14539</v>
          </cell>
          <cell r="C232">
            <v>711209.15</v>
          </cell>
          <cell r="D232">
            <v>27354.2</v>
          </cell>
          <cell r="E232">
            <v>186687.5</v>
          </cell>
        </row>
        <row r="233">
          <cell r="B233">
            <v>14544</v>
          </cell>
          <cell r="C233">
            <v>873725.13</v>
          </cell>
          <cell r="D233">
            <v>33604.81</v>
          </cell>
          <cell r="E233">
            <v>91563.54</v>
          </cell>
        </row>
        <row r="234">
          <cell r="B234">
            <v>14545</v>
          </cell>
          <cell r="C234">
            <v>664653</v>
          </cell>
          <cell r="D234">
            <v>25563.58</v>
          </cell>
          <cell r="E234">
            <v>123944.33</v>
          </cell>
        </row>
        <row r="235">
          <cell r="B235">
            <v>14546</v>
          </cell>
          <cell r="C235">
            <v>653041.89</v>
          </cell>
          <cell r="D235">
            <v>25117</v>
          </cell>
          <cell r="E235">
            <v>0</v>
          </cell>
        </row>
        <row r="236">
          <cell r="B236">
            <v>14547</v>
          </cell>
          <cell r="C236">
            <v>840668.56</v>
          </cell>
          <cell r="D236">
            <v>32333.41</v>
          </cell>
          <cell r="E236">
            <v>0</v>
          </cell>
        </row>
        <row r="237">
          <cell r="B237">
            <v>14564</v>
          </cell>
          <cell r="C237">
            <v>686509.18</v>
          </cell>
          <cell r="D237">
            <v>26404.2</v>
          </cell>
          <cell r="E237">
            <v>77309.67</v>
          </cell>
        </row>
        <row r="238">
          <cell r="B238">
            <v>14565</v>
          </cell>
          <cell r="C238">
            <v>824165.68</v>
          </cell>
          <cell r="D238">
            <v>31698.68</v>
          </cell>
          <cell r="E238">
            <v>191001.3</v>
          </cell>
        </row>
        <row r="239">
          <cell r="B239">
            <v>14595</v>
          </cell>
          <cell r="C239">
            <v>871800.09</v>
          </cell>
          <cell r="D239">
            <v>33530.769999999997</v>
          </cell>
          <cell r="E239">
            <v>46904.26</v>
          </cell>
        </row>
        <row r="240">
          <cell r="B240">
            <v>14630</v>
          </cell>
          <cell r="C240">
            <v>745717.76000000001</v>
          </cell>
          <cell r="D240">
            <v>28681.45</v>
          </cell>
          <cell r="E240">
            <v>9437.7999999999993</v>
          </cell>
        </row>
        <row r="241">
          <cell r="B241">
            <v>14641</v>
          </cell>
          <cell r="C241">
            <v>661248.17000000004</v>
          </cell>
          <cell r="D241">
            <v>25432.62</v>
          </cell>
          <cell r="E241">
            <v>32998.53</v>
          </cell>
        </row>
        <row r="242">
          <cell r="B242">
            <v>14651</v>
          </cell>
          <cell r="C242">
            <v>782521.06</v>
          </cell>
          <cell r="D242">
            <v>30096.959999999999</v>
          </cell>
          <cell r="E242">
            <v>54933.27</v>
          </cell>
        </row>
        <row r="243">
          <cell r="B243">
            <v>14655</v>
          </cell>
          <cell r="C243">
            <v>603333.15</v>
          </cell>
          <cell r="D243">
            <v>23205.119999999999</v>
          </cell>
          <cell r="E243">
            <v>88155.44</v>
          </cell>
        </row>
        <row r="244">
          <cell r="B244">
            <v>14658</v>
          </cell>
          <cell r="C244">
            <v>722094.05</v>
          </cell>
          <cell r="D244">
            <v>27772.85</v>
          </cell>
          <cell r="E244">
            <v>92550.48</v>
          </cell>
        </row>
        <row r="245">
          <cell r="B245">
            <v>14701</v>
          </cell>
          <cell r="C245">
            <v>562438.18999999994</v>
          </cell>
          <cell r="D245">
            <v>21632.240000000002</v>
          </cell>
          <cell r="E245">
            <v>54339.62</v>
          </cell>
        </row>
        <row r="246">
          <cell r="B246">
            <v>14702</v>
          </cell>
          <cell r="C246">
            <v>814494.45</v>
          </cell>
          <cell r="D246">
            <v>31326.71</v>
          </cell>
          <cell r="E246">
            <v>340828.47</v>
          </cell>
        </row>
        <row r="247">
          <cell r="B247">
            <v>14704</v>
          </cell>
          <cell r="C247">
            <v>633358.55000000005</v>
          </cell>
          <cell r="D247">
            <v>24359.94</v>
          </cell>
          <cell r="E247">
            <v>0</v>
          </cell>
        </row>
        <row r="248">
          <cell r="B248">
            <v>14708</v>
          </cell>
          <cell r="C248">
            <v>785299.96</v>
          </cell>
          <cell r="D248">
            <v>30203.84</v>
          </cell>
          <cell r="E248">
            <v>32742.51</v>
          </cell>
        </row>
        <row r="249">
          <cell r="B249">
            <v>14710</v>
          </cell>
          <cell r="C249">
            <v>777542.31</v>
          </cell>
          <cell r="D249">
            <v>29905.47</v>
          </cell>
          <cell r="E249">
            <v>61610.97</v>
          </cell>
        </row>
        <row r="250">
          <cell r="B250">
            <v>14713</v>
          </cell>
          <cell r="C250">
            <v>560765.16</v>
          </cell>
          <cell r="D250">
            <v>21567.89</v>
          </cell>
          <cell r="E250">
            <v>-449.78</v>
          </cell>
        </row>
        <row r="251">
          <cell r="B251" t="str">
            <v>Grand</v>
          </cell>
          <cell r="C251">
            <v>221910658.80000001</v>
          </cell>
          <cell r="D251">
            <v>8535025.3399999999</v>
          </cell>
          <cell r="E251">
            <v>25454180.34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5E022-031F-42BC-9817-E7E2EC9783F7}">
  <sheetPr>
    <pageSetUpPr fitToPage="1"/>
  </sheetPr>
  <dimension ref="A1:O291"/>
  <sheetViews>
    <sheetView showGridLines="0" zoomScaleNormal="100" workbookViewId="0">
      <pane xSplit="4" ySplit="2" topLeftCell="E162" activePane="bottomRight" state="frozen"/>
      <selection pane="topRight" activeCell="G1" sqref="G1"/>
      <selection pane="bottomLeft" activeCell="A3" sqref="A3"/>
      <selection pane="bottomRight" activeCell="E166" sqref="E166"/>
    </sheetView>
  </sheetViews>
  <sheetFormatPr defaultColWidth="9.140625" defaultRowHeight="15"/>
  <cols>
    <col min="1" max="1" width="4.85546875" style="4" customWidth="1"/>
    <col min="2" max="2" width="7.5703125" style="4" customWidth="1"/>
    <col min="3" max="3" width="22.42578125" style="4" customWidth="1"/>
    <col min="4" max="4" width="7.28515625" style="9" hidden="1" customWidth="1"/>
    <col min="5" max="5" width="21.85546875" style="9" customWidth="1"/>
    <col min="6" max="6" width="14.5703125" style="9" hidden="1" customWidth="1"/>
    <col min="7" max="7" width="5.42578125" style="9" hidden="1" customWidth="1"/>
    <col min="8" max="8" width="11.42578125" style="9" hidden="1" customWidth="1"/>
    <col min="9" max="9" width="14.28515625" style="9" hidden="1" customWidth="1"/>
    <col min="10" max="10" width="9.85546875" style="9" bestFit="1" customWidth="1"/>
    <col min="11" max="14" width="9.85546875" style="9" customWidth="1"/>
    <col min="15" max="15" width="9.42578125" style="4" bestFit="1" customWidth="1"/>
    <col min="16" max="16384" width="9.140625" style="9"/>
  </cols>
  <sheetData>
    <row r="1" spans="1:15" s="1" customFormat="1" ht="21">
      <c r="A1" s="40" t="s">
        <v>534</v>
      </c>
      <c r="B1" s="40"/>
      <c r="C1" s="40"/>
      <c r="D1" s="40"/>
      <c r="E1" s="40"/>
      <c r="F1" s="40"/>
      <c r="G1" s="40"/>
      <c r="H1" s="40"/>
      <c r="I1" s="40"/>
      <c r="J1" s="40"/>
      <c r="K1" s="27"/>
      <c r="L1" s="27"/>
      <c r="M1" s="27"/>
      <c r="N1" s="27"/>
      <c r="O1" s="36"/>
    </row>
    <row r="2" spans="1:15" s="4" customFormat="1" ht="38.25" customHeight="1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2" t="s">
        <v>532</v>
      </c>
      <c r="G2" s="2" t="s">
        <v>535</v>
      </c>
      <c r="H2" s="2" t="s">
        <v>533</v>
      </c>
      <c r="I2" s="2" t="s">
        <v>538</v>
      </c>
      <c r="J2" s="30" t="s">
        <v>537</v>
      </c>
      <c r="K2" s="28">
        <v>46164</v>
      </c>
      <c r="L2" s="28">
        <v>46165</v>
      </c>
      <c r="M2" s="28">
        <v>46166</v>
      </c>
      <c r="N2" s="28">
        <v>46167</v>
      </c>
      <c r="O2" s="2" t="s">
        <v>531</v>
      </c>
    </row>
    <row r="3" spans="1:15" ht="18" customHeight="1">
      <c r="A3" s="5">
        <v>1</v>
      </c>
      <c r="B3" s="5">
        <v>6903</v>
      </c>
      <c r="C3" s="6" t="s">
        <v>293</v>
      </c>
      <c r="D3" s="5">
        <v>11096</v>
      </c>
      <c r="E3" s="7" t="s">
        <v>5</v>
      </c>
      <c r="F3" s="8">
        <v>217017.51</v>
      </c>
      <c r="G3" s="8">
        <v>168.94</v>
      </c>
      <c r="H3" s="8">
        <f>(F3/5)*6</f>
        <v>260421.01199999999</v>
      </c>
      <c r="I3" s="8">
        <f>(H3*35%)+H3</f>
        <v>351568.36619999999</v>
      </c>
      <c r="J3" s="5">
        <v>390632</v>
      </c>
      <c r="K3" s="5"/>
      <c r="L3" s="5">
        <v>312504</v>
      </c>
      <c r="M3" s="5"/>
      <c r="N3" s="5">
        <v>78128</v>
      </c>
      <c r="O3" s="8">
        <f>(K3+L3+M3+N3)-J3</f>
        <v>0</v>
      </c>
    </row>
    <row r="4" spans="1:15" ht="18" customHeight="1">
      <c r="A4" s="5">
        <v>2</v>
      </c>
      <c r="B4" s="5">
        <v>1869</v>
      </c>
      <c r="C4" s="6" t="s">
        <v>294</v>
      </c>
      <c r="D4" s="5">
        <v>11095</v>
      </c>
      <c r="E4" s="7" t="s">
        <v>6</v>
      </c>
      <c r="F4" s="8">
        <v>304649.32</v>
      </c>
      <c r="G4" s="8">
        <v>250.78</v>
      </c>
      <c r="H4" s="8">
        <f t="shared" ref="H4:H67" si="0">(F4/5)*6</f>
        <v>365579.18400000001</v>
      </c>
      <c r="I4" s="8">
        <f t="shared" ref="I4:I67" si="1">(H4*35%)+H4</f>
        <v>493531.89840000001</v>
      </c>
      <c r="J4" s="8">
        <f>+I4</f>
        <v>493531.89840000001</v>
      </c>
      <c r="K4" s="8"/>
      <c r="L4" s="8">
        <v>420000</v>
      </c>
      <c r="M4" s="8"/>
      <c r="N4" s="8">
        <v>73532</v>
      </c>
      <c r="O4" s="8">
        <f t="shared" ref="O4:O58" si="2">(K4+L4+M4+N4)-J4</f>
        <v>0.1015999999945052</v>
      </c>
    </row>
    <row r="5" spans="1:15" ht="18" customHeight="1">
      <c r="A5" s="5">
        <v>3</v>
      </c>
      <c r="B5" s="5">
        <v>1664</v>
      </c>
      <c r="C5" s="6" t="s">
        <v>295</v>
      </c>
      <c r="D5" s="5">
        <v>11097</v>
      </c>
      <c r="E5" s="7" t="s">
        <v>7</v>
      </c>
      <c r="F5" s="8">
        <v>345483.41000000003</v>
      </c>
      <c r="G5" s="8">
        <v>264.58</v>
      </c>
      <c r="H5" s="8">
        <f t="shared" si="0"/>
        <v>414580.092</v>
      </c>
      <c r="I5" s="8">
        <f t="shared" si="1"/>
        <v>559683.12419999996</v>
      </c>
      <c r="J5" s="8">
        <f>+I5</f>
        <v>559683.12419999996</v>
      </c>
      <c r="K5" s="8"/>
      <c r="L5" s="8">
        <v>455000</v>
      </c>
      <c r="M5" s="8"/>
      <c r="N5" s="8">
        <v>104683</v>
      </c>
      <c r="O5" s="8">
        <f t="shared" si="2"/>
        <v>-0.12419999996200204</v>
      </c>
    </row>
    <row r="6" spans="1:15" ht="18" customHeight="1">
      <c r="A6" s="5">
        <v>4</v>
      </c>
      <c r="B6" s="5">
        <v>7650</v>
      </c>
      <c r="C6" s="6" t="s">
        <v>296</v>
      </c>
      <c r="D6" s="5">
        <v>14544</v>
      </c>
      <c r="E6" s="7" t="s">
        <v>8</v>
      </c>
      <c r="F6" s="8">
        <v>244222.83000000002</v>
      </c>
      <c r="G6" s="8">
        <v>180.79</v>
      </c>
      <c r="H6" s="8">
        <f t="shared" si="0"/>
        <v>293067.39600000007</v>
      </c>
      <c r="I6" s="8">
        <f t="shared" si="1"/>
        <v>395640.98460000008</v>
      </c>
      <c r="J6" s="5">
        <v>390631</v>
      </c>
      <c r="K6" s="5"/>
      <c r="L6" s="5">
        <v>320000</v>
      </c>
      <c r="M6" s="5"/>
      <c r="N6" s="5">
        <v>70631</v>
      </c>
      <c r="O6" s="8">
        <f t="shared" si="2"/>
        <v>0</v>
      </c>
    </row>
    <row r="7" spans="1:15" ht="18" customHeight="1">
      <c r="A7" s="5">
        <v>5</v>
      </c>
      <c r="B7" s="5">
        <v>3476</v>
      </c>
      <c r="C7" s="6" t="s">
        <v>297</v>
      </c>
      <c r="D7" s="5">
        <v>12949</v>
      </c>
      <c r="E7" s="7" t="s">
        <v>9</v>
      </c>
      <c r="F7" s="8">
        <v>268437.76000000001</v>
      </c>
      <c r="G7" s="8">
        <v>218.14</v>
      </c>
      <c r="H7" s="8">
        <f t="shared" si="0"/>
        <v>322125.31200000003</v>
      </c>
      <c r="I7" s="8">
        <f t="shared" si="1"/>
        <v>434869.17120000004</v>
      </c>
      <c r="J7" s="5">
        <v>450000</v>
      </c>
      <c r="K7" s="5">
        <v>125000</v>
      </c>
      <c r="L7" s="5">
        <v>150000</v>
      </c>
      <c r="M7" s="5">
        <v>130000</v>
      </c>
      <c r="N7" s="5">
        <v>45000</v>
      </c>
      <c r="O7" s="8">
        <f t="shared" si="2"/>
        <v>0</v>
      </c>
    </row>
    <row r="8" spans="1:15" ht="18" customHeight="1">
      <c r="A8" s="5">
        <v>6</v>
      </c>
      <c r="B8" s="5">
        <v>3005</v>
      </c>
      <c r="C8" s="6" t="s">
        <v>298</v>
      </c>
      <c r="D8" s="5">
        <v>11026</v>
      </c>
      <c r="E8" s="7" t="s">
        <v>10</v>
      </c>
      <c r="F8" s="8">
        <v>203054.75</v>
      </c>
      <c r="G8" s="8">
        <v>213.19</v>
      </c>
      <c r="H8" s="8">
        <f t="shared" si="0"/>
        <v>243665.69999999998</v>
      </c>
      <c r="I8" s="8">
        <f t="shared" si="1"/>
        <v>328948.69499999995</v>
      </c>
      <c r="J8" s="5">
        <v>400000</v>
      </c>
      <c r="K8" s="5">
        <v>330000</v>
      </c>
      <c r="L8" s="5"/>
      <c r="M8" s="5">
        <v>70000</v>
      </c>
      <c r="N8" s="5"/>
      <c r="O8" s="8">
        <f t="shared" si="2"/>
        <v>0</v>
      </c>
    </row>
    <row r="9" spans="1:15" ht="18" customHeight="1">
      <c r="A9" s="5">
        <v>7</v>
      </c>
      <c r="B9" s="5">
        <v>3977</v>
      </c>
      <c r="C9" s="6" t="s">
        <v>299</v>
      </c>
      <c r="D9" s="5">
        <v>13055</v>
      </c>
      <c r="E9" s="7" t="s">
        <v>11</v>
      </c>
      <c r="F9" s="8">
        <v>120065.52</v>
      </c>
      <c r="G9" s="8">
        <v>122.64</v>
      </c>
      <c r="H9" s="8">
        <f t="shared" si="0"/>
        <v>144078.62400000001</v>
      </c>
      <c r="I9" s="8">
        <f t="shared" si="1"/>
        <v>194506.14240000001</v>
      </c>
      <c r="J9" s="5">
        <v>330000</v>
      </c>
      <c r="K9" s="5">
        <v>265000</v>
      </c>
      <c r="L9" s="5"/>
      <c r="M9" s="5">
        <v>65000</v>
      </c>
      <c r="N9" s="5"/>
      <c r="O9" s="8">
        <f t="shared" si="2"/>
        <v>0</v>
      </c>
    </row>
    <row r="10" spans="1:15" ht="18" customHeight="1">
      <c r="A10" s="10" t="s">
        <v>12</v>
      </c>
      <c r="B10" s="11"/>
      <c r="C10" s="12"/>
      <c r="D10" s="11" t="s">
        <v>12</v>
      </c>
      <c r="E10" s="13" t="s">
        <v>13</v>
      </c>
      <c r="F10" s="14">
        <f>SUM(F3:F9)</f>
        <v>1702931.1</v>
      </c>
      <c r="G10" s="14">
        <v>205.63</v>
      </c>
      <c r="H10" s="14">
        <f t="shared" si="0"/>
        <v>2043517.3200000003</v>
      </c>
      <c r="I10" s="14">
        <f t="shared" si="1"/>
        <v>2758748.3820000002</v>
      </c>
      <c r="J10" s="14">
        <f>SUM(J3:J9)</f>
        <v>3014478.0225999998</v>
      </c>
      <c r="K10" s="14">
        <f>SUM(K3:K9)</f>
        <v>720000</v>
      </c>
      <c r="L10" s="14">
        <f t="shared" ref="L10:O10" si="3">SUM(L3:L9)</f>
        <v>1657504</v>
      </c>
      <c r="M10" s="14">
        <f t="shared" si="3"/>
        <v>265000</v>
      </c>
      <c r="N10" s="14">
        <f t="shared" si="3"/>
        <v>371974</v>
      </c>
      <c r="O10" s="14">
        <f t="shared" si="3"/>
        <v>-2.2599999967496842E-2</v>
      </c>
    </row>
    <row r="11" spans="1:15" ht="18" customHeight="1">
      <c r="A11" s="5">
        <v>8</v>
      </c>
      <c r="B11" s="5">
        <v>1283</v>
      </c>
      <c r="C11" s="6" t="s">
        <v>300</v>
      </c>
      <c r="D11" s="5">
        <v>11080</v>
      </c>
      <c r="E11" s="7" t="s">
        <v>14</v>
      </c>
      <c r="F11" s="8">
        <v>113981.59</v>
      </c>
      <c r="G11" s="8">
        <v>89.88</v>
      </c>
      <c r="H11" s="8">
        <f t="shared" si="0"/>
        <v>136777.908</v>
      </c>
      <c r="I11" s="8">
        <f t="shared" si="1"/>
        <v>184650.1758</v>
      </c>
      <c r="J11" s="5">
        <v>400000</v>
      </c>
      <c r="K11" s="5"/>
      <c r="L11" s="5">
        <v>400000</v>
      </c>
      <c r="M11" s="5"/>
      <c r="N11" s="5"/>
      <c r="O11" s="8">
        <f t="shared" si="2"/>
        <v>0</v>
      </c>
    </row>
    <row r="12" spans="1:15" ht="18" customHeight="1">
      <c r="A12" s="5">
        <v>9</v>
      </c>
      <c r="B12" s="5">
        <v>1225</v>
      </c>
      <c r="C12" s="6" t="s">
        <v>301</v>
      </c>
      <c r="D12" s="5">
        <v>11078</v>
      </c>
      <c r="E12" s="7" t="s">
        <v>15</v>
      </c>
      <c r="F12" s="8">
        <v>181847.86</v>
      </c>
      <c r="G12" s="8">
        <v>135.62</v>
      </c>
      <c r="H12" s="8">
        <f t="shared" si="0"/>
        <v>218217.432</v>
      </c>
      <c r="I12" s="8">
        <f t="shared" si="1"/>
        <v>294593.53320000001</v>
      </c>
      <c r="J12" s="5">
        <v>350000</v>
      </c>
      <c r="K12" s="5"/>
      <c r="L12" s="5">
        <v>350000</v>
      </c>
      <c r="M12" s="5"/>
      <c r="N12" s="5"/>
      <c r="O12" s="8">
        <f t="shared" si="2"/>
        <v>0</v>
      </c>
    </row>
    <row r="13" spans="1:15" ht="18" customHeight="1">
      <c r="A13" s="5">
        <v>10</v>
      </c>
      <c r="B13" s="5">
        <v>1884</v>
      </c>
      <c r="C13" s="6" t="s">
        <v>302</v>
      </c>
      <c r="D13" s="5">
        <v>11083</v>
      </c>
      <c r="E13" s="7" t="s">
        <v>16</v>
      </c>
      <c r="F13" s="8">
        <v>162267.42000000001</v>
      </c>
      <c r="G13" s="8">
        <v>104.67</v>
      </c>
      <c r="H13" s="8">
        <f t="shared" si="0"/>
        <v>194720.90400000004</v>
      </c>
      <c r="I13" s="8">
        <f t="shared" si="1"/>
        <v>262873.22040000005</v>
      </c>
      <c r="J13" s="5">
        <v>350000</v>
      </c>
      <c r="K13" s="5"/>
      <c r="L13" s="5">
        <v>350000</v>
      </c>
      <c r="M13" s="5"/>
      <c r="N13" s="5"/>
      <c r="O13" s="8">
        <f t="shared" si="2"/>
        <v>0</v>
      </c>
    </row>
    <row r="14" spans="1:15" ht="18" customHeight="1">
      <c r="A14" s="5">
        <v>11</v>
      </c>
      <c r="B14" s="5">
        <v>1570</v>
      </c>
      <c r="C14" s="6" t="s">
        <v>303</v>
      </c>
      <c r="D14" s="5">
        <v>11084</v>
      </c>
      <c r="E14" s="7" t="s">
        <v>17</v>
      </c>
      <c r="F14" s="8">
        <v>94191.65</v>
      </c>
      <c r="G14" s="8">
        <v>70.5</v>
      </c>
      <c r="H14" s="8">
        <f t="shared" si="0"/>
        <v>113029.97999999998</v>
      </c>
      <c r="I14" s="8">
        <f t="shared" si="1"/>
        <v>152590.47299999997</v>
      </c>
      <c r="J14" s="5">
        <v>320000</v>
      </c>
      <c r="K14" s="5"/>
      <c r="L14" s="5">
        <v>320000</v>
      </c>
      <c r="M14" s="5"/>
      <c r="N14" s="5"/>
      <c r="O14" s="8">
        <f t="shared" si="2"/>
        <v>0</v>
      </c>
    </row>
    <row r="15" spans="1:15" ht="18" customHeight="1">
      <c r="A15" s="5">
        <v>12</v>
      </c>
      <c r="B15" s="5">
        <v>1099</v>
      </c>
      <c r="C15" s="6" t="s">
        <v>304</v>
      </c>
      <c r="D15" s="5">
        <v>13036</v>
      </c>
      <c r="E15" s="7" t="s">
        <v>18</v>
      </c>
      <c r="F15" s="8">
        <v>134690.13</v>
      </c>
      <c r="G15" s="8">
        <v>94.9</v>
      </c>
      <c r="H15" s="8">
        <f t="shared" si="0"/>
        <v>161628.15600000002</v>
      </c>
      <c r="I15" s="8">
        <f t="shared" si="1"/>
        <v>218198.01060000004</v>
      </c>
      <c r="J15" s="5">
        <v>500000</v>
      </c>
      <c r="K15" s="5"/>
      <c r="L15" s="5">
        <v>500000</v>
      </c>
      <c r="M15" s="5"/>
      <c r="N15" s="5"/>
      <c r="O15" s="8">
        <f t="shared" si="2"/>
        <v>0</v>
      </c>
    </row>
    <row r="16" spans="1:15" ht="18" customHeight="1">
      <c r="A16" s="5">
        <v>13</v>
      </c>
      <c r="B16" s="5">
        <v>5292</v>
      </c>
      <c r="C16" s="6" t="s">
        <v>305</v>
      </c>
      <c r="D16" s="5">
        <v>12975</v>
      </c>
      <c r="E16" s="7" t="s">
        <v>19</v>
      </c>
      <c r="F16" s="8">
        <v>300355.20999999996</v>
      </c>
      <c r="G16" s="8">
        <v>243.91</v>
      </c>
      <c r="H16" s="8">
        <f t="shared" si="0"/>
        <v>360426.25199999998</v>
      </c>
      <c r="I16" s="8">
        <f t="shared" si="1"/>
        <v>486575.44019999995</v>
      </c>
      <c r="J16" s="5">
        <v>400000</v>
      </c>
      <c r="K16" s="8"/>
      <c r="L16" s="8">
        <v>350000</v>
      </c>
      <c r="M16" s="8"/>
      <c r="N16" s="8">
        <v>50000</v>
      </c>
      <c r="O16" s="8">
        <f t="shared" si="2"/>
        <v>0</v>
      </c>
    </row>
    <row r="17" spans="1:15" ht="18" customHeight="1">
      <c r="A17" s="10" t="s">
        <v>12</v>
      </c>
      <c r="B17" s="11"/>
      <c r="C17" s="12"/>
      <c r="D17" s="11" t="s">
        <v>12</v>
      </c>
      <c r="E17" s="13" t="s">
        <v>20</v>
      </c>
      <c r="F17" s="14">
        <f>SUM(F11:F16)</f>
        <v>987333.86</v>
      </c>
      <c r="G17" s="14">
        <v>123.35</v>
      </c>
      <c r="H17" s="14">
        <f t="shared" si="0"/>
        <v>1184800.632</v>
      </c>
      <c r="I17" s="14">
        <f t="shared" si="1"/>
        <v>1599480.8532</v>
      </c>
      <c r="J17" s="14">
        <f>SUM(J11:J16)</f>
        <v>2320000</v>
      </c>
      <c r="K17" s="14">
        <f t="shared" ref="K17:O17" si="4">SUM(K11:K16)</f>
        <v>0</v>
      </c>
      <c r="L17" s="14">
        <f t="shared" si="4"/>
        <v>2270000</v>
      </c>
      <c r="M17" s="14">
        <f t="shared" si="4"/>
        <v>0</v>
      </c>
      <c r="N17" s="14">
        <f t="shared" si="4"/>
        <v>50000</v>
      </c>
      <c r="O17" s="14">
        <f t="shared" si="4"/>
        <v>0</v>
      </c>
    </row>
    <row r="18" spans="1:15" ht="18" customHeight="1">
      <c r="A18" s="5">
        <v>14</v>
      </c>
      <c r="B18" s="5">
        <v>3429</v>
      </c>
      <c r="C18" s="6" t="s">
        <v>306</v>
      </c>
      <c r="D18" s="5">
        <v>11092</v>
      </c>
      <c r="E18" s="7" t="s">
        <v>21</v>
      </c>
      <c r="F18" s="8">
        <v>236617.4</v>
      </c>
      <c r="G18" s="8">
        <v>231.74</v>
      </c>
      <c r="H18" s="8">
        <f t="shared" si="0"/>
        <v>283940.88</v>
      </c>
      <c r="I18" s="8">
        <f t="shared" si="1"/>
        <v>383320.18799999997</v>
      </c>
      <c r="J18" s="8">
        <f>+I18</f>
        <v>383320.18799999997</v>
      </c>
      <c r="K18" s="8"/>
      <c r="L18" s="8">
        <v>100000</v>
      </c>
      <c r="M18" s="8"/>
      <c r="N18" s="8">
        <v>283320</v>
      </c>
      <c r="O18" s="8">
        <f t="shared" si="2"/>
        <v>-0.18799999996554106</v>
      </c>
    </row>
    <row r="19" spans="1:15" ht="18" customHeight="1">
      <c r="A19" s="5">
        <v>15</v>
      </c>
      <c r="B19" s="5">
        <v>0</v>
      </c>
      <c r="C19" s="29" t="s">
        <v>307</v>
      </c>
      <c r="D19" s="5">
        <v>11098</v>
      </c>
      <c r="E19" s="7" t="s">
        <v>22</v>
      </c>
      <c r="F19" s="8">
        <v>185017.38999999998</v>
      </c>
      <c r="G19" s="8">
        <v>176.88</v>
      </c>
      <c r="H19" s="8">
        <f t="shared" si="0"/>
        <v>222020.86799999996</v>
      </c>
      <c r="I19" s="8">
        <f t="shared" si="1"/>
        <v>299728.17179999995</v>
      </c>
      <c r="J19" s="31">
        <v>369202</v>
      </c>
      <c r="K19" s="5"/>
      <c r="L19" s="5">
        <v>170000</v>
      </c>
      <c r="M19" s="5"/>
      <c r="N19" s="5">
        <v>199202</v>
      </c>
      <c r="O19" s="8">
        <f t="shared" si="2"/>
        <v>0</v>
      </c>
    </row>
    <row r="20" spans="1:15" ht="18" customHeight="1">
      <c r="A20" s="5">
        <v>16</v>
      </c>
      <c r="B20" s="5">
        <v>5970</v>
      </c>
      <c r="C20" s="6" t="s">
        <v>308</v>
      </c>
      <c r="D20" s="5">
        <v>13330</v>
      </c>
      <c r="E20" s="7" t="s">
        <v>23</v>
      </c>
      <c r="F20" s="8">
        <v>205098.71</v>
      </c>
      <c r="G20" s="8">
        <v>205.29</v>
      </c>
      <c r="H20" s="8">
        <f t="shared" si="0"/>
        <v>246118.45199999999</v>
      </c>
      <c r="I20" s="8">
        <f t="shared" si="1"/>
        <v>332259.91019999998</v>
      </c>
      <c r="J20" s="32">
        <v>337222</v>
      </c>
      <c r="K20" s="5"/>
      <c r="L20" s="5">
        <v>138000</v>
      </c>
      <c r="M20" s="5"/>
      <c r="N20" s="5">
        <v>199222</v>
      </c>
      <c r="O20" s="8">
        <f t="shared" si="2"/>
        <v>0</v>
      </c>
    </row>
    <row r="21" spans="1:15" ht="18" customHeight="1">
      <c r="A21" s="5">
        <v>17</v>
      </c>
      <c r="B21" s="5">
        <v>7614</v>
      </c>
      <c r="C21" s="6" t="s">
        <v>309</v>
      </c>
      <c r="D21" s="5">
        <v>14545</v>
      </c>
      <c r="E21" s="7" t="s">
        <v>24</v>
      </c>
      <c r="F21" s="8">
        <v>256149.35</v>
      </c>
      <c r="G21" s="8">
        <v>261.77</v>
      </c>
      <c r="H21" s="8">
        <f t="shared" si="0"/>
        <v>307379.22000000003</v>
      </c>
      <c r="I21" s="8">
        <f t="shared" si="1"/>
        <v>414961.94700000004</v>
      </c>
      <c r="J21" s="8">
        <f t="shared" ref="J21:J24" si="5">+I21</f>
        <v>414961.94700000004</v>
      </c>
      <c r="K21" s="8"/>
      <c r="L21" s="8">
        <v>150000</v>
      </c>
      <c r="M21" s="8"/>
      <c r="N21" s="8">
        <v>264962</v>
      </c>
      <c r="O21" s="8">
        <f t="shared" si="2"/>
        <v>5.2999999956227839E-2</v>
      </c>
    </row>
    <row r="22" spans="1:15" ht="18" customHeight="1">
      <c r="A22" s="5">
        <v>18</v>
      </c>
      <c r="B22" s="5">
        <v>983</v>
      </c>
      <c r="C22" s="6" t="s">
        <v>310</v>
      </c>
      <c r="D22" s="5">
        <v>11093</v>
      </c>
      <c r="E22" s="7" t="s">
        <v>25</v>
      </c>
      <c r="F22" s="8">
        <v>456731.95999999996</v>
      </c>
      <c r="G22" s="8">
        <v>291.17</v>
      </c>
      <c r="H22" s="8">
        <f t="shared" si="0"/>
        <v>548078.35199999996</v>
      </c>
      <c r="I22" s="8">
        <f t="shared" si="1"/>
        <v>739905.77519999992</v>
      </c>
      <c r="J22" s="8">
        <f t="shared" si="5"/>
        <v>739905.77519999992</v>
      </c>
      <c r="K22" s="8">
        <v>340000</v>
      </c>
      <c r="L22" s="8"/>
      <c r="M22" s="8">
        <v>399906</v>
      </c>
      <c r="N22" s="8"/>
      <c r="O22" s="8">
        <f t="shared" si="2"/>
        <v>0.22480000008363277</v>
      </c>
    </row>
    <row r="23" spans="1:15" ht="18" customHeight="1">
      <c r="A23" s="5">
        <v>19</v>
      </c>
      <c r="B23" s="5">
        <v>3004</v>
      </c>
      <c r="C23" s="6" t="s">
        <v>311</v>
      </c>
      <c r="D23" s="5">
        <v>11094</v>
      </c>
      <c r="E23" s="7" t="s">
        <v>26</v>
      </c>
      <c r="F23" s="8">
        <v>331395.21999999997</v>
      </c>
      <c r="G23" s="8">
        <v>223.29</v>
      </c>
      <c r="H23" s="8">
        <f t="shared" si="0"/>
        <v>397674.26399999997</v>
      </c>
      <c r="I23" s="8">
        <f t="shared" si="1"/>
        <v>536860.25639999995</v>
      </c>
      <c r="J23" s="8">
        <f t="shared" si="5"/>
        <v>536860.25639999995</v>
      </c>
      <c r="K23" s="8">
        <v>250000</v>
      </c>
      <c r="L23" s="8"/>
      <c r="M23" s="8">
        <v>286860</v>
      </c>
      <c r="N23" s="8"/>
      <c r="O23" s="8">
        <f t="shared" si="2"/>
        <v>-0.25639999995473772</v>
      </c>
    </row>
    <row r="24" spans="1:15" ht="18" customHeight="1">
      <c r="A24" s="5">
        <v>20</v>
      </c>
      <c r="B24" s="5">
        <v>1960</v>
      </c>
      <c r="C24" s="6" t="s">
        <v>312</v>
      </c>
      <c r="D24" s="5">
        <v>12291</v>
      </c>
      <c r="E24" s="7" t="s">
        <v>27</v>
      </c>
      <c r="F24" s="8">
        <v>431021.42000000004</v>
      </c>
      <c r="G24" s="8">
        <v>305.95</v>
      </c>
      <c r="H24" s="8">
        <f t="shared" si="0"/>
        <v>517225.70400000009</v>
      </c>
      <c r="I24" s="8">
        <f t="shared" si="1"/>
        <v>698254.70040000009</v>
      </c>
      <c r="J24" s="8">
        <f t="shared" si="5"/>
        <v>698254.70040000009</v>
      </c>
      <c r="K24" s="8"/>
      <c r="L24" s="8">
        <v>400000</v>
      </c>
      <c r="M24" s="8"/>
      <c r="N24" s="8">
        <v>298255</v>
      </c>
      <c r="O24" s="8">
        <f t="shared" si="2"/>
        <v>0.29959999991115183</v>
      </c>
    </row>
    <row r="25" spans="1:15" ht="18" customHeight="1">
      <c r="A25" s="10" t="s">
        <v>12</v>
      </c>
      <c r="B25" s="11"/>
      <c r="C25" s="12"/>
      <c r="D25" s="11" t="s">
        <v>12</v>
      </c>
      <c r="E25" s="13" t="s">
        <v>28</v>
      </c>
      <c r="F25" s="14">
        <f>SUM(F18:F24)</f>
        <v>2102031.4500000002</v>
      </c>
      <c r="G25" s="14">
        <v>247.43</v>
      </c>
      <c r="H25" s="14">
        <f t="shared" si="0"/>
        <v>2522437.7400000002</v>
      </c>
      <c r="I25" s="14">
        <f t="shared" si="1"/>
        <v>3405290.949</v>
      </c>
      <c r="J25" s="14">
        <f>SUM(J18:J24)</f>
        <v>3479726.8670000001</v>
      </c>
      <c r="K25" s="14">
        <f t="shared" ref="K25:O25" si="6">SUM(K18:K24)</f>
        <v>590000</v>
      </c>
      <c r="L25" s="14">
        <f t="shared" si="6"/>
        <v>958000</v>
      </c>
      <c r="M25" s="14">
        <f t="shared" si="6"/>
        <v>686766</v>
      </c>
      <c r="N25" s="14">
        <f t="shared" si="6"/>
        <v>1244961</v>
      </c>
      <c r="O25" s="14">
        <f t="shared" si="6"/>
        <v>0.13300000003073364</v>
      </c>
    </row>
    <row r="26" spans="1:15" ht="18" customHeight="1">
      <c r="A26" s="5">
        <v>21</v>
      </c>
      <c r="B26" s="5">
        <v>1789</v>
      </c>
      <c r="C26" s="6" t="s">
        <v>313</v>
      </c>
      <c r="D26" s="5">
        <v>11082</v>
      </c>
      <c r="E26" s="7" t="s">
        <v>29</v>
      </c>
      <c r="F26" s="8">
        <v>453838.13</v>
      </c>
      <c r="G26" s="8">
        <v>295.10000000000002</v>
      </c>
      <c r="H26" s="8">
        <f t="shared" si="0"/>
        <v>544605.75600000005</v>
      </c>
      <c r="I26" s="8">
        <f t="shared" si="1"/>
        <v>735217.77060000005</v>
      </c>
      <c r="J26" s="8">
        <f>+I26</f>
        <v>735217.77060000005</v>
      </c>
      <c r="K26" s="8">
        <v>0</v>
      </c>
      <c r="L26" s="8">
        <v>230000</v>
      </c>
      <c r="M26" s="8">
        <v>0</v>
      </c>
      <c r="N26" s="8">
        <v>505218</v>
      </c>
      <c r="O26" s="8">
        <f t="shared" si="2"/>
        <v>0.22939999995287508</v>
      </c>
    </row>
    <row r="27" spans="1:15" ht="18" customHeight="1">
      <c r="A27" s="5">
        <v>22</v>
      </c>
      <c r="B27" s="5">
        <v>3822</v>
      </c>
      <c r="C27" s="6" t="s">
        <v>314</v>
      </c>
      <c r="D27" s="5">
        <v>12061</v>
      </c>
      <c r="E27" s="7" t="s">
        <v>30</v>
      </c>
      <c r="F27" s="8">
        <v>387519.29</v>
      </c>
      <c r="G27" s="8">
        <v>273.54000000000002</v>
      </c>
      <c r="H27" s="8">
        <f t="shared" si="0"/>
        <v>465023.14799999993</v>
      </c>
      <c r="I27" s="8">
        <f t="shared" si="1"/>
        <v>627781.24979999987</v>
      </c>
      <c r="J27" s="8">
        <f t="shared" ref="J27:J30" si="7">+I27</f>
        <v>627781.24979999987</v>
      </c>
      <c r="K27" s="8">
        <v>80000</v>
      </c>
      <c r="L27" s="8">
        <v>90000</v>
      </c>
      <c r="M27" s="8">
        <v>250000</v>
      </c>
      <c r="N27" s="8">
        <v>207781</v>
      </c>
      <c r="O27" s="8">
        <f t="shared" si="2"/>
        <v>-0.24979999987408519</v>
      </c>
    </row>
    <row r="28" spans="1:15" ht="18" customHeight="1">
      <c r="A28" s="5">
        <v>23</v>
      </c>
      <c r="B28" s="5">
        <v>2523</v>
      </c>
      <c r="C28" s="6" t="s">
        <v>315</v>
      </c>
      <c r="D28" s="5">
        <v>11085</v>
      </c>
      <c r="E28" s="7" t="s">
        <v>31</v>
      </c>
      <c r="F28" s="8">
        <v>406953.32999999996</v>
      </c>
      <c r="G28" s="8">
        <v>273.58999999999997</v>
      </c>
      <c r="H28" s="8">
        <f t="shared" si="0"/>
        <v>488343.99599999998</v>
      </c>
      <c r="I28" s="8">
        <f t="shared" si="1"/>
        <v>659264.3946</v>
      </c>
      <c r="J28" s="8">
        <f t="shared" si="7"/>
        <v>659264.3946</v>
      </c>
      <c r="K28" s="8">
        <v>60000</v>
      </c>
      <c r="L28" s="8">
        <v>100000</v>
      </c>
      <c r="M28" s="8">
        <v>250000</v>
      </c>
      <c r="N28" s="8">
        <v>249264</v>
      </c>
      <c r="O28" s="8">
        <f t="shared" si="2"/>
        <v>-0.39459999999962747</v>
      </c>
    </row>
    <row r="29" spans="1:15" ht="18" customHeight="1">
      <c r="A29" s="5">
        <v>24</v>
      </c>
      <c r="B29" s="5">
        <v>1935</v>
      </c>
      <c r="C29" s="6" t="s">
        <v>316</v>
      </c>
      <c r="D29" s="5">
        <v>12598</v>
      </c>
      <c r="E29" s="7" t="s">
        <v>32</v>
      </c>
      <c r="F29" s="8">
        <v>341964.97000000003</v>
      </c>
      <c r="G29" s="8">
        <v>230.4</v>
      </c>
      <c r="H29" s="8">
        <f t="shared" si="0"/>
        <v>410357.96400000004</v>
      </c>
      <c r="I29" s="8">
        <f t="shared" si="1"/>
        <v>553983.25140000007</v>
      </c>
      <c r="J29" s="8">
        <f t="shared" si="7"/>
        <v>553983.25140000007</v>
      </c>
      <c r="K29" s="8">
        <v>60000</v>
      </c>
      <c r="L29" s="8">
        <v>100000</v>
      </c>
      <c r="M29" s="8">
        <v>200000</v>
      </c>
      <c r="N29" s="8">
        <v>193983</v>
      </c>
      <c r="O29" s="8">
        <f t="shared" si="2"/>
        <v>-0.25140000006649643</v>
      </c>
    </row>
    <row r="30" spans="1:15" ht="18" customHeight="1">
      <c r="A30" s="5">
        <v>25</v>
      </c>
      <c r="B30" s="5">
        <v>5453</v>
      </c>
      <c r="C30" s="6" t="s">
        <v>317</v>
      </c>
      <c r="D30" s="5">
        <v>11079</v>
      </c>
      <c r="E30" s="7" t="s">
        <v>33</v>
      </c>
      <c r="F30" s="8">
        <v>427646.29000000004</v>
      </c>
      <c r="G30" s="8">
        <v>284.88</v>
      </c>
      <c r="H30" s="8">
        <f t="shared" si="0"/>
        <v>513175.54800000001</v>
      </c>
      <c r="I30" s="8">
        <f t="shared" si="1"/>
        <v>692786.98979999998</v>
      </c>
      <c r="J30" s="8">
        <f t="shared" si="7"/>
        <v>692786.98979999998</v>
      </c>
      <c r="K30" s="8">
        <v>95000</v>
      </c>
      <c r="L30" s="8">
        <v>100000</v>
      </c>
      <c r="M30" s="8">
        <v>300000</v>
      </c>
      <c r="N30" s="8">
        <v>197787</v>
      </c>
      <c r="O30" s="8">
        <f t="shared" si="2"/>
        <v>1.0200000018812716E-2</v>
      </c>
    </row>
    <row r="31" spans="1:15" ht="18" customHeight="1">
      <c r="A31" s="5">
        <v>26</v>
      </c>
      <c r="B31" s="5">
        <v>3186</v>
      </c>
      <c r="C31" s="6" t="s">
        <v>318</v>
      </c>
      <c r="D31" s="5">
        <v>13291</v>
      </c>
      <c r="E31" s="7" t="s">
        <v>34</v>
      </c>
      <c r="F31" s="8">
        <v>271072.81</v>
      </c>
      <c r="G31" s="8">
        <v>211.91</v>
      </c>
      <c r="H31" s="8">
        <f t="shared" si="0"/>
        <v>325287.37199999997</v>
      </c>
      <c r="I31" s="8">
        <f t="shared" si="1"/>
        <v>439137.95219999994</v>
      </c>
      <c r="J31" s="8">
        <f>(H31*45%)+H31</f>
        <v>471666.68939999997</v>
      </c>
      <c r="K31" s="5">
        <v>50000</v>
      </c>
      <c r="L31" s="5">
        <v>80000</v>
      </c>
      <c r="M31" s="5">
        <v>165000</v>
      </c>
      <c r="N31" s="5">
        <v>176667</v>
      </c>
      <c r="O31" s="8">
        <f t="shared" si="2"/>
        <v>0.31060000002617016</v>
      </c>
    </row>
    <row r="32" spans="1:15" ht="18" customHeight="1">
      <c r="A32" s="5">
        <v>27</v>
      </c>
      <c r="B32" s="5">
        <v>5187</v>
      </c>
      <c r="C32" s="6" t="s">
        <v>319</v>
      </c>
      <c r="D32" s="5">
        <v>11081</v>
      </c>
      <c r="E32" s="7" t="s">
        <v>35</v>
      </c>
      <c r="F32" s="8">
        <v>415961.32</v>
      </c>
      <c r="G32" s="8">
        <v>287.85000000000002</v>
      </c>
      <c r="H32" s="8">
        <f t="shared" si="0"/>
        <v>499153.58399999997</v>
      </c>
      <c r="I32" s="8">
        <f t="shared" si="1"/>
        <v>673857.33840000001</v>
      </c>
      <c r="J32" s="8">
        <f>+I32</f>
        <v>673857.33840000001</v>
      </c>
      <c r="K32" s="8">
        <v>95000</v>
      </c>
      <c r="L32" s="8">
        <v>100000</v>
      </c>
      <c r="M32" s="8">
        <v>300000</v>
      </c>
      <c r="N32" s="8">
        <v>178857</v>
      </c>
      <c r="O32" s="8">
        <f t="shared" si="2"/>
        <v>-0.33840000000782311</v>
      </c>
    </row>
    <row r="33" spans="1:15" ht="18" customHeight="1">
      <c r="A33" s="10" t="s">
        <v>12</v>
      </c>
      <c r="B33" s="11"/>
      <c r="C33" s="12"/>
      <c r="D33" s="11" t="s">
        <v>12</v>
      </c>
      <c r="E33" s="13" t="s">
        <v>36</v>
      </c>
      <c r="F33" s="14">
        <f>SUM(F26:F32)</f>
        <v>2704956.1399999997</v>
      </c>
      <c r="G33" s="14">
        <v>266.54000000000002</v>
      </c>
      <c r="H33" s="14">
        <f t="shared" si="0"/>
        <v>3245947.3679999993</v>
      </c>
      <c r="I33" s="14">
        <f t="shared" si="1"/>
        <v>4382028.9467999991</v>
      </c>
      <c r="J33" s="14">
        <f>SUM(J26:J32)</f>
        <v>4414557.6840000004</v>
      </c>
      <c r="K33" s="14">
        <f t="shared" ref="K33:O33" si="8">SUM(K26:K32)</f>
        <v>440000</v>
      </c>
      <c r="L33" s="14">
        <f t="shared" si="8"/>
        <v>800000</v>
      </c>
      <c r="M33" s="14">
        <f t="shared" si="8"/>
        <v>1465000</v>
      </c>
      <c r="N33" s="14">
        <f t="shared" si="8"/>
        <v>1709557</v>
      </c>
      <c r="O33" s="14">
        <f t="shared" si="8"/>
        <v>-0.68399999995017424</v>
      </c>
    </row>
    <row r="34" spans="1:15" ht="18" customHeight="1">
      <c r="A34" s="5">
        <v>28</v>
      </c>
      <c r="B34" s="5">
        <v>2678</v>
      </c>
      <c r="C34" s="6" t="s">
        <v>320</v>
      </c>
      <c r="D34" s="5">
        <v>11086</v>
      </c>
      <c r="E34" s="7" t="s">
        <v>37</v>
      </c>
      <c r="F34" s="8">
        <v>373215.31</v>
      </c>
      <c r="G34" s="8">
        <v>216.2</v>
      </c>
      <c r="H34" s="8">
        <f t="shared" si="0"/>
        <v>447858.37200000003</v>
      </c>
      <c r="I34" s="8">
        <f t="shared" si="1"/>
        <v>604608.80220000003</v>
      </c>
      <c r="J34" s="8">
        <f>(H34*40%)+H34</f>
        <v>627001.72080000001</v>
      </c>
      <c r="K34" s="5">
        <v>94000</v>
      </c>
      <c r="L34" s="5">
        <v>150000</v>
      </c>
      <c r="M34" s="5">
        <v>300000</v>
      </c>
      <c r="N34" s="5">
        <v>83002</v>
      </c>
      <c r="O34" s="8">
        <f t="shared" si="2"/>
        <v>0.27919999998994172</v>
      </c>
    </row>
    <row r="35" spans="1:15" ht="18" customHeight="1">
      <c r="A35" s="5">
        <v>29</v>
      </c>
      <c r="B35" s="5">
        <v>7220</v>
      </c>
      <c r="C35" s="6" t="s">
        <v>321</v>
      </c>
      <c r="D35" s="5">
        <v>13614</v>
      </c>
      <c r="E35" s="7" t="s">
        <v>38</v>
      </c>
      <c r="F35" s="8">
        <v>371474.38999999996</v>
      </c>
      <c r="G35" s="8">
        <v>231.2</v>
      </c>
      <c r="H35" s="8">
        <f t="shared" si="0"/>
        <v>445769.26799999998</v>
      </c>
      <c r="I35" s="8">
        <f t="shared" si="1"/>
        <v>601788.51179999998</v>
      </c>
      <c r="J35" s="8">
        <v>601789</v>
      </c>
      <c r="K35" s="8">
        <v>100000</v>
      </c>
      <c r="L35" s="8">
        <v>140000</v>
      </c>
      <c r="M35" s="8">
        <v>270000</v>
      </c>
      <c r="N35" s="8">
        <v>91789</v>
      </c>
      <c r="O35" s="8">
        <f t="shared" si="2"/>
        <v>0</v>
      </c>
    </row>
    <row r="36" spans="1:15" ht="18" customHeight="1">
      <c r="A36" s="5">
        <v>30</v>
      </c>
      <c r="B36" s="5">
        <v>7583</v>
      </c>
      <c r="C36" s="6" t="s">
        <v>322</v>
      </c>
      <c r="D36" s="5">
        <v>11087</v>
      </c>
      <c r="E36" s="7" t="s">
        <v>39</v>
      </c>
      <c r="F36" s="8">
        <v>218967.97000000003</v>
      </c>
      <c r="G36" s="8">
        <v>152.68</v>
      </c>
      <c r="H36" s="8">
        <f t="shared" si="0"/>
        <v>262761.56400000001</v>
      </c>
      <c r="I36" s="8">
        <f t="shared" si="1"/>
        <v>354728.11139999999</v>
      </c>
      <c r="J36" s="8">
        <f t="shared" ref="J36:J39" si="9">(H36*40%)+H36</f>
        <v>367866.18960000004</v>
      </c>
      <c r="K36" s="5">
        <v>58000</v>
      </c>
      <c r="L36" s="5">
        <v>70000</v>
      </c>
      <c r="M36" s="5">
        <v>140000</v>
      </c>
      <c r="N36" s="5">
        <v>99866</v>
      </c>
      <c r="O36" s="8">
        <f t="shared" si="2"/>
        <v>-0.18960000004153699</v>
      </c>
    </row>
    <row r="37" spans="1:15" ht="18" customHeight="1">
      <c r="A37" s="5">
        <v>31</v>
      </c>
      <c r="B37" s="5">
        <v>6413</v>
      </c>
      <c r="C37" s="6" t="s">
        <v>323</v>
      </c>
      <c r="D37" s="5">
        <v>12225</v>
      </c>
      <c r="E37" s="7" t="s">
        <v>40</v>
      </c>
      <c r="F37" s="8">
        <v>384784.43</v>
      </c>
      <c r="G37" s="8">
        <v>218.57</v>
      </c>
      <c r="H37" s="8">
        <f t="shared" si="0"/>
        <v>461741.31599999999</v>
      </c>
      <c r="I37" s="8">
        <f t="shared" si="1"/>
        <v>623350.77659999998</v>
      </c>
      <c r="J37" s="8">
        <f t="shared" si="9"/>
        <v>646437.84239999996</v>
      </c>
      <c r="K37" s="5">
        <v>120000</v>
      </c>
      <c r="L37" s="5">
        <v>220000</v>
      </c>
      <c r="M37" s="5">
        <v>200000</v>
      </c>
      <c r="N37" s="5">
        <v>106438</v>
      </c>
      <c r="O37" s="8">
        <f t="shared" si="2"/>
        <v>0.15760000003501773</v>
      </c>
    </row>
    <row r="38" spans="1:15" ht="18" customHeight="1">
      <c r="A38" s="5">
        <v>32</v>
      </c>
      <c r="B38" s="5">
        <v>7727</v>
      </c>
      <c r="C38" s="6" t="s">
        <v>324</v>
      </c>
      <c r="D38" s="5">
        <v>11088</v>
      </c>
      <c r="E38" s="7" t="s">
        <v>41</v>
      </c>
      <c r="F38" s="8">
        <v>331882.97000000003</v>
      </c>
      <c r="G38" s="8">
        <v>179.71</v>
      </c>
      <c r="H38" s="8">
        <f t="shared" si="0"/>
        <v>398259.56400000007</v>
      </c>
      <c r="I38" s="8">
        <f t="shared" si="1"/>
        <v>537650.4114000001</v>
      </c>
      <c r="J38" s="8">
        <f t="shared" si="9"/>
        <v>557563.38960000011</v>
      </c>
      <c r="K38" s="5">
        <v>120000</v>
      </c>
      <c r="L38" s="5">
        <v>170000</v>
      </c>
      <c r="M38" s="5">
        <v>160000</v>
      </c>
      <c r="N38" s="5">
        <v>107563</v>
      </c>
      <c r="O38" s="8">
        <f t="shared" si="2"/>
        <v>-0.38960000011138618</v>
      </c>
    </row>
    <row r="39" spans="1:15" ht="18" customHeight="1">
      <c r="A39" s="5">
        <v>33</v>
      </c>
      <c r="B39" s="5">
        <v>7372</v>
      </c>
      <c r="C39" s="6" t="s">
        <v>325</v>
      </c>
      <c r="D39" s="5">
        <v>11091</v>
      </c>
      <c r="E39" s="7" t="s">
        <v>42</v>
      </c>
      <c r="F39" s="8">
        <v>321082.88</v>
      </c>
      <c r="G39" s="8">
        <v>217.67</v>
      </c>
      <c r="H39" s="8">
        <f t="shared" si="0"/>
        <v>385299.45600000001</v>
      </c>
      <c r="I39" s="8">
        <f t="shared" si="1"/>
        <v>520154.26560000004</v>
      </c>
      <c r="J39" s="8">
        <f t="shared" si="9"/>
        <v>539419.23840000003</v>
      </c>
      <c r="K39" s="5">
        <v>70000</v>
      </c>
      <c r="L39" s="5">
        <v>150000</v>
      </c>
      <c r="M39" s="5">
        <v>250000</v>
      </c>
      <c r="N39" s="5">
        <v>69419</v>
      </c>
      <c r="O39" s="8">
        <f t="shared" si="2"/>
        <v>-0.23840000003110617</v>
      </c>
    </row>
    <row r="40" spans="1:15" ht="18" customHeight="1">
      <c r="A40" s="5">
        <v>34</v>
      </c>
      <c r="B40" s="5">
        <v>7139</v>
      </c>
      <c r="C40" s="6" t="s">
        <v>326</v>
      </c>
      <c r="D40" s="5">
        <v>13264</v>
      </c>
      <c r="E40" s="7" t="s">
        <v>43</v>
      </c>
      <c r="F40" s="8">
        <v>441191.45</v>
      </c>
      <c r="G40" s="8">
        <v>257.88</v>
      </c>
      <c r="H40" s="8">
        <f t="shared" si="0"/>
        <v>529429.74</v>
      </c>
      <c r="I40" s="8">
        <f t="shared" si="1"/>
        <v>714730.14899999998</v>
      </c>
      <c r="J40" s="8">
        <f>+I40</f>
        <v>714730.14899999998</v>
      </c>
      <c r="K40" s="8">
        <v>100000</v>
      </c>
      <c r="L40" s="8">
        <v>200000</v>
      </c>
      <c r="M40" s="8">
        <v>314000</v>
      </c>
      <c r="N40" s="8">
        <v>100730</v>
      </c>
      <c r="O40" s="8">
        <f t="shared" si="2"/>
        <v>-0.14899999997578561</v>
      </c>
    </row>
    <row r="41" spans="1:15" ht="18" customHeight="1">
      <c r="A41" s="10" t="s">
        <v>12</v>
      </c>
      <c r="B41" s="11"/>
      <c r="C41" s="12"/>
      <c r="D41" s="11" t="s">
        <v>12</v>
      </c>
      <c r="E41" s="13" t="s">
        <v>44</v>
      </c>
      <c r="F41" s="14">
        <f>SUM(F34:F40)</f>
        <v>2442599.4</v>
      </c>
      <c r="G41" s="14">
        <v>211.51</v>
      </c>
      <c r="H41" s="14">
        <f t="shared" si="0"/>
        <v>2931119.2800000003</v>
      </c>
      <c r="I41" s="14">
        <f t="shared" si="1"/>
        <v>3957011.0280000004</v>
      </c>
      <c r="J41" s="14">
        <f>SUM(J34:J40)</f>
        <v>4054807.5298000006</v>
      </c>
      <c r="K41" s="14">
        <f t="shared" ref="K41:O41" si="10">SUM(K34:K40)</f>
        <v>662000</v>
      </c>
      <c r="L41" s="14">
        <f t="shared" si="10"/>
        <v>1100000</v>
      </c>
      <c r="M41" s="14">
        <f t="shared" si="10"/>
        <v>1634000</v>
      </c>
      <c r="N41" s="14">
        <f t="shared" si="10"/>
        <v>658807</v>
      </c>
      <c r="O41" s="14">
        <f t="shared" si="10"/>
        <v>-0.52980000013485551</v>
      </c>
    </row>
    <row r="42" spans="1:15" ht="18" customHeight="1">
      <c r="A42" s="5">
        <v>35</v>
      </c>
      <c r="B42" s="5">
        <v>6705</v>
      </c>
      <c r="C42" s="6" t="s">
        <v>327</v>
      </c>
      <c r="D42" s="5">
        <v>11030</v>
      </c>
      <c r="E42" s="7" t="s">
        <v>45</v>
      </c>
      <c r="F42" s="8">
        <v>218720.09999999998</v>
      </c>
      <c r="G42" s="8">
        <v>191.1</v>
      </c>
      <c r="H42" s="8">
        <f t="shared" si="0"/>
        <v>262464.12</v>
      </c>
      <c r="I42" s="8">
        <f t="shared" si="1"/>
        <v>354326.56199999998</v>
      </c>
      <c r="J42" s="5">
        <v>408123</v>
      </c>
      <c r="K42" s="5">
        <v>50000</v>
      </c>
      <c r="L42" s="5">
        <v>100000</v>
      </c>
      <c r="M42" s="5">
        <v>200000</v>
      </c>
      <c r="N42" s="5">
        <v>58123</v>
      </c>
      <c r="O42" s="8">
        <f t="shared" si="2"/>
        <v>0</v>
      </c>
    </row>
    <row r="43" spans="1:15" ht="18" customHeight="1">
      <c r="A43" s="5">
        <v>36</v>
      </c>
      <c r="B43" s="5">
        <v>7454</v>
      </c>
      <c r="C43" s="6" t="s">
        <v>328</v>
      </c>
      <c r="D43" s="5">
        <v>11032</v>
      </c>
      <c r="E43" s="7" t="s">
        <v>46</v>
      </c>
      <c r="F43" s="8">
        <v>206460.32</v>
      </c>
      <c r="G43" s="8">
        <v>173.11</v>
      </c>
      <c r="H43" s="8">
        <f t="shared" si="0"/>
        <v>247752.38399999999</v>
      </c>
      <c r="I43" s="8">
        <f t="shared" si="1"/>
        <v>334465.71840000001</v>
      </c>
      <c r="J43" s="5">
        <v>425331</v>
      </c>
      <c r="K43" s="33">
        <v>60000</v>
      </c>
      <c r="L43" s="33">
        <v>150000</v>
      </c>
      <c r="M43" s="33">
        <v>100000</v>
      </c>
      <c r="N43" s="33">
        <v>115331</v>
      </c>
      <c r="O43" s="8">
        <f t="shared" si="2"/>
        <v>0</v>
      </c>
    </row>
    <row r="44" spans="1:15" ht="18" customHeight="1">
      <c r="A44" s="5">
        <v>37</v>
      </c>
      <c r="B44" s="5">
        <v>6164</v>
      </c>
      <c r="C44" s="6" t="s">
        <v>329</v>
      </c>
      <c r="D44" s="5">
        <v>13310</v>
      </c>
      <c r="E44" s="7" t="s">
        <v>47</v>
      </c>
      <c r="F44" s="8">
        <v>233071.51</v>
      </c>
      <c r="G44" s="8">
        <v>195.9</v>
      </c>
      <c r="H44" s="8">
        <f t="shared" si="0"/>
        <v>279685.81200000003</v>
      </c>
      <c r="I44" s="8">
        <f t="shared" si="1"/>
        <v>377575.84620000003</v>
      </c>
      <c r="J44" s="5">
        <v>423809</v>
      </c>
      <c r="K44" s="33">
        <v>75000</v>
      </c>
      <c r="L44" s="33">
        <v>130000</v>
      </c>
      <c r="M44" s="33">
        <v>170000</v>
      </c>
      <c r="N44" s="33">
        <v>48808</v>
      </c>
      <c r="O44" s="8">
        <f t="shared" si="2"/>
        <v>-1</v>
      </c>
    </row>
    <row r="45" spans="1:15" ht="18" customHeight="1">
      <c r="A45" s="5">
        <v>38</v>
      </c>
      <c r="B45" s="5">
        <v>2938</v>
      </c>
      <c r="C45" s="6" t="s">
        <v>330</v>
      </c>
      <c r="D45" s="5">
        <v>13102</v>
      </c>
      <c r="E45" s="7" t="s">
        <v>48</v>
      </c>
      <c r="F45" s="8">
        <v>291874.01</v>
      </c>
      <c r="G45" s="8">
        <v>234.12</v>
      </c>
      <c r="H45" s="8">
        <f t="shared" si="0"/>
        <v>350248.81200000003</v>
      </c>
      <c r="I45" s="8">
        <f t="shared" si="1"/>
        <v>472835.89620000002</v>
      </c>
      <c r="J45" s="8">
        <v>472835.89620000002</v>
      </c>
      <c r="K45" s="34">
        <v>60000</v>
      </c>
      <c r="L45" s="34">
        <v>120000</v>
      </c>
      <c r="M45" s="34">
        <v>240000</v>
      </c>
      <c r="N45" s="34">
        <v>52836</v>
      </c>
      <c r="O45" s="8">
        <f t="shared" si="2"/>
        <v>0.10379999998258427</v>
      </c>
    </row>
    <row r="46" spans="1:15" ht="18" customHeight="1">
      <c r="A46" s="5">
        <v>39</v>
      </c>
      <c r="B46" s="5">
        <v>1753</v>
      </c>
      <c r="C46" s="6" t="s">
        <v>331</v>
      </c>
      <c r="D46" s="5">
        <v>11028</v>
      </c>
      <c r="E46" s="7" t="s">
        <v>49</v>
      </c>
      <c r="F46" s="8">
        <v>294153.94</v>
      </c>
      <c r="G46" s="8">
        <v>215.57</v>
      </c>
      <c r="H46" s="8">
        <f t="shared" si="0"/>
        <v>352984.728</v>
      </c>
      <c r="I46" s="8">
        <f t="shared" si="1"/>
        <v>476529.38280000002</v>
      </c>
      <c r="J46" s="5">
        <v>485353</v>
      </c>
      <c r="K46" s="33">
        <v>60000</v>
      </c>
      <c r="L46" s="33">
        <v>150000</v>
      </c>
      <c r="M46" s="33">
        <v>250000</v>
      </c>
      <c r="N46" s="33">
        <v>25353</v>
      </c>
      <c r="O46" s="8">
        <f t="shared" si="2"/>
        <v>0</v>
      </c>
    </row>
    <row r="47" spans="1:15" ht="18" customHeight="1">
      <c r="A47" s="5">
        <v>40</v>
      </c>
      <c r="B47" s="5">
        <v>1182</v>
      </c>
      <c r="C47" s="6" t="s">
        <v>332</v>
      </c>
      <c r="D47" s="5">
        <v>11029</v>
      </c>
      <c r="E47" s="7" t="s">
        <v>50</v>
      </c>
      <c r="F47" s="8">
        <v>339183.86</v>
      </c>
      <c r="G47" s="8">
        <v>304.22000000000003</v>
      </c>
      <c r="H47" s="8">
        <f t="shared" si="0"/>
        <v>407020.63199999998</v>
      </c>
      <c r="I47" s="8">
        <f t="shared" si="1"/>
        <v>549477.85320000001</v>
      </c>
      <c r="J47" s="8">
        <v>549477.85320000001</v>
      </c>
      <c r="K47" s="35">
        <v>100478</v>
      </c>
      <c r="L47" s="35">
        <v>175000</v>
      </c>
      <c r="M47" s="35">
        <v>224000</v>
      </c>
      <c r="N47" s="35">
        <v>50000</v>
      </c>
      <c r="O47" s="8">
        <f t="shared" si="2"/>
        <v>0.14679999998770654</v>
      </c>
    </row>
    <row r="48" spans="1:15" ht="18" customHeight="1">
      <c r="A48" s="5">
        <v>41</v>
      </c>
      <c r="B48" s="5">
        <v>3730</v>
      </c>
      <c r="C48" s="6" t="s">
        <v>333</v>
      </c>
      <c r="D48" s="5">
        <v>12348</v>
      </c>
      <c r="E48" s="7" t="s">
        <v>51</v>
      </c>
      <c r="F48" s="8">
        <v>362452.89</v>
      </c>
      <c r="G48" s="8">
        <v>313.48</v>
      </c>
      <c r="H48" s="8">
        <f t="shared" si="0"/>
        <v>434943.46800000005</v>
      </c>
      <c r="I48" s="8">
        <f t="shared" si="1"/>
        <v>587173.68180000002</v>
      </c>
      <c r="J48" s="8">
        <v>587173.68180000002</v>
      </c>
      <c r="K48" s="8">
        <v>70000</v>
      </c>
      <c r="L48" s="8">
        <v>200000</v>
      </c>
      <c r="M48" s="8">
        <v>250000</v>
      </c>
      <c r="N48" s="8">
        <v>67174</v>
      </c>
      <c r="O48" s="8">
        <f t="shared" si="2"/>
        <v>0.31819999997969717</v>
      </c>
    </row>
    <row r="49" spans="1:15" ht="18" customHeight="1">
      <c r="A49" s="5">
        <v>42</v>
      </c>
      <c r="B49" s="5">
        <v>0</v>
      </c>
      <c r="C49" s="6" t="s">
        <v>334</v>
      </c>
      <c r="D49" s="5">
        <v>14708</v>
      </c>
      <c r="E49" s="7" t="s">
        <v>52</v>
      </c>
      <c r="F49" s="8">
        <v>252791.62</v>
      </c>
      <c r="G49" s="8">
        <v>219.12</v>
      </c>
      <c r="H49" s="8">
        <f t="shared" si="0"/>
        <v>303349.94400000002</v>
      </c>
      <c r="I49" s="8">
        <f t="shared" si="1"/>
        <v>409522.42440000002</v>
      </c>
      <c r="J49" s="5">
        <v>411390</v>
      </c>
      <c r="K49" s="33">
        <v>60000</v>
      </c>
      <c r="L49" s="33">
        <v>125000</v>
      </c>
      <c r="M49" s="33">
        <v>175000</v>
      </c>
      <c r="N49" s="33">
        <v>51390</v>
      </c>
      <c r="O49" s="8">
        <f t="shared" si="2"/>
        <v>0</v>
      </c>
    </row>
    <row r="50" spans="1:15" ht="18" customHeight="1">
      <c r="A50" s="10" t="s">
        <v>12</v>
      </c>
      <c r="B50" s="11"/>
      <c r="C50" s="12"/>
      <c r="D50" s="11" t="s">
        <v>12</v>
      </c>
      <c r="E50" s="13" t="s">
        <v>53</v>
      </c>
      <c r="F50" s="14">
        <f>SUM(F42:F49)</f>
        <v>2198708.25</v>
      </c>
      <c r="G50" s="14">
        <v>230.48</v>
      </c>
      <c r="H50" s="14">
        <f t="shared" si="0"/>
        <v>2638449.9000000004</v>
      </c>
      <c r="I50" s="14">
        <f t="shared" si="1"/>
        <v>3561907.3650000002</v>
      </c>
      <c r="J50" s="14">
        <f>SUM(J42:J49)</f>
        <v>3763493.4312</v>
      </c>
      <c r="K50" s="14">
        <f t="shared" ref="K50:O50" si="11">SUM(K42:K49)</f>
        <v>535478</v>
      </c>
      <c r="L50" s="14">
        <f t="shared" si="11"/>
        <v>1150000</v>
      </c>
      <c r="M50" s="14">
        <f t="shared" si="11"/>
        <v>1609000</v>
      </c>
      <c r="N50" s="14">
        <f t="shared" si="11"/>
        <v>469015</v>
      </c>
      <c r="O50" s="14">
        <f t="shared" si="11"/>
        <v>-0.43120000005001202</v>
      </c>
    </row>
    <row r="51" spans="1:15" ht="18" customHeight="1">
      <c r="A51" s="5">
        <v>43</v>
      </c>
      <c r="B51" s="5">
        <v>3040</v>
      </c>
      <c r="C51" s="6" t="s">
        <v>335</v>
      </c>
      <c r="D51" s="5">
        <v>11027</v>
      </c>
      <c r="E51" s="7" t="s">
        <v>54</v>
      </c>
      <c r="F51" s="8">
        <v>279132.2</v>
      </c>
      <c r="G51" s="8">
        <v>217.16</v>
      </c>
      <c r="H51" s="8">
        <f t="shared" si="0"/>
        <v>334958.64</v>
      </c>
      <c r="I51" s="8">
        <f t="shared" si="1"/>
        <v>452194.16399999999</v>
      </c>
      <c r="J51" s="8">
        <f>(H51*38%)+H51</f>
        <v>462242.92320000002</v>
      </c>
      <c r="K51" s="5">
        <v>50000</v>
      </c>
      <c r="L51" s="5">
        <v>180000</v>
      </c>
      <c r="M51" s="5">
        <v>200000</v>
      </c>
      <c r="N51" s="5">
        <v>32243</v>
      </c>
      <c r="O51" s="8">
        <f t="shared" si="2"/>
        <v>7.6799999980721623E-2</v>
      </c>
    </row>
    <row r="52" spans="1:15" ht="18" customHeight="1">
      <c r="A52" s="5">
        <v>44</v>
      </c>
      <c r="B52" s="5">
        <v>7729</v>
      </c>
      <c r="C52" s="6" t="s">
        <v>336</v>
      </c>
      <c r="D52" s="5">
        <v>12227</v>
      </c>
      <c r="E52" s="7" t="s">
        <v>55</v>
      </c>
      <c r="F52" s="8">
        <v>218199.41</v>
      </c>
      <c r="G52" s="8">
        <v>173.79</v>
      </c>
      <c r="H52" s="8">
        <f t="shared" si="0"/>
        <v>261839.29199999999</v>
      </c>
      <c r="I52" s="8">
        <f t="shared" si="1"/>
        <v>353483.0442</v>
      </c>
      <c r="J52" s="8">
        <f>(H52*45%)+H52</f>
        <v>379666.97340000002</v>
      </c>
      <c r="K52" s="5">
        <v>60000</v>
      </c>
      <c r="L52" s="5">
        <v>140000</v>
      </c>
      <c r="M52" s="5">
        <v>150000</v>
      </c>
      <c r="N52" s="5">
        <v>29667</v>
      </c>
      <c r="O52" s="8">
        <f t="shared" si="2"/>
        <v>2.6599999982863665E-2</v>
      </c>
    </row>
    <row r="53" spans="1:15" ht="18" customHeight="1">
      <c r="A53" s="5">
        <v>45</v>
      </c>
      <c r="B53" s="5">
        <v>1541</v>
      </c>
      <c r="C53" s="6" t="s">
        <v>337</v>
      </c>
      <c r="D53" s="5">
        <v>11031</v>
      </c>
      <c r="E53" s="7" t="s">
        <v>56</v>
      </c>
      <c r="F53" s="8">
        <v>309143.69</v>
      </c>
      <c r="G53" s="8">
        <v>232.05</v>
      </c>
      <c r="H53" s="8">
        <f t="shared" si="0"/>
        <v>370972.42799999996</v>
      </c>
      <c r="I53" s="8">
        <f t="shared" si="1"/>
        <v>500812.77779999992</v>
      </c>
      <c r="J53" s="8">
        <f>+I53</f>
        <v>500812.77779999992</v>
      </c>
      <c r="K53" s="8">
        <v>60000</v>
      </c>
      <c r="L53" s="8">
        <v>180000</v>
      </c>
      <c r="M53" s="8">
        <v>200000</v>
      </c>
      <c r="N53" s="8">
        <v>60813</v>
      </c>
      <c r="O53" s="8">
        <f t="shared" si="2"/>
        <v>0.22220000007655472</v>
      </c>
    </row>
    <row r="54" spans="1:15" ht="18" customHeight="1">
      <c r="A54" s="5">
        <v>46</v>
      </c>
      <c r="B54" s="5">
        <v>4033</v>
      </c>
      <c r="C54" s="6" t="s">
        <v>338</v>
      </c>
      <c r="D54" s="5">
        <v>11730</v>
      </c>
      <c r="E54" s="7" t="s">
        <v>57</v>
      </c>
      <c r="F54" s="8">
        <v>229438.99000000002</v>
      </c>
      <c r="G54" s="8">
        <v>169.01</v>
      </c>
      <c r="H54" s="8">
        <f t="shared" si="0"/>
        <v>275326.788</v>
      </c>
      <c r="I54" s="8">
        <f t="shared" si="1"/>
        <v>371691.16379999998</v>
      </c>
      <c r="J54" s="8">
        <f>(H54*60%)+H54</f>
        <v>440522.86080000002</v>
      </c>
      <c r="K54" s="5">
        <v>100000</v>
      </c>
      <c r="L54" s="5">
        <v>150000</v>
      </c>
      <c r="M54" s="5">
        <v>170000</v>
      </c>
      <c r="N54" s="5">
        <v>20523</v>
      </c>
      <c r="O54" s="8">
        <f t="shared" si="2"/>
        <v>0.13919999997597188</v>
      </c>
    </row>
    <row r="55" spans="1:15" ht="18" customHeight="1">
      <c r="A55" s="5">
        <v>47</v>
      </c>
      <c r="B55" s="5">
        <v>7691</v>
      </c>
      <c r="C55" s="6" t="s">
        <v>339</v>
      </c>
      <c r="D55" s="5">
        <v>14595</v>
      </c>
      <c r="E55" s="7" t="s">
        <v>58</v>
      </c>
      <c r="F55" s="8">
        <v>232070.77</v>
      </c>
      <c r="G55" s="8">
        <v>179.63</v>
      </c>
      <c r="H55" s="8">
        <f t="shared" si="0"/>
        <v>278484.924</v>
      </c>
      <c r="I55" s="8">
        <f t="shared" si="1"/>
        <v>375954.64740000002</v>
      </c>
      <c r="J55" s="8">
        <f>(H55*50%)+H55</f>
        <v>417727.386</v>
      </c>
      <c r="K55" s="5">
        <v>80000</v>
      </c>
      <c r="L55" s="5">
        <v>150000</v>
      </c>
      <c r="M55" s="5">
        <v>160000</v>
      </c>
      <c r="N55" s="5">
        <v>27727</v>
      </c>
      <c r="O55" s="8">
        <f t="shared" si="2"/>
        <v>-0.38599999999860302</v>
      </c>
    </row>
    <row r="56" spans="1:15" ht="18" customHeight="1">
      <c r="A56" s="5">
        <v>48</v>
      </c>
      <c r="B56" s="5">
        <v>3820</v>
      </c>
      <c r="C56" s="6" t="s">
        <v>340</v>
      </c>
      <c r="D56" s="5">
        <v>11090</v>
      </c>
      <c r="E56" s="7" t="s">
        <v>59</v>
      </c>
      <c r="F56" s="8">
        <v>505112.35000000003</v>
      </c>
      <c r="G56" s="8">
        <v>299.39</v>
      </c>
      <c r="H56" s="8">
        <f t="shared" si="0"/>
        <v>606134.82000000007</v>
      </c>
      <c r="I56" s="8">
        <f t="shared" si="1"/>
        <v>818282.0070000001</v>
      </c>
      <c r="J56" s="8">
        <f>+I56</f>
        <v>818282.0070000001</v>
      </c>
      <c r="K56" s="8">
        <v>100000</v>
      </c>
      <c r="L56" s="8">
        <v>300000</v>
      </c>
      <c r="M56" s="8">
        <v>300000</v>
      </c>
      <c r="N56" s="8">
        <v>118282</v>
      </c>
      <c r="O56" s="8">
        <f t="shared" si="2"/>
        <v>-7.0000000996515155E-3</v>
      </c>
    </row>
    <row r="57" spans="1:15" ht="18" customHeight="1">
      <c r="A57" s="5">
        <v>49</v>
      </c>
      <c r="B57" s="5">
        <v>8724</v>
      </c>
      <c r="C57" s="6" t="s">
        <v>341</v>
      </c>
      <c r="D57" s="5">
        <v>11089</v>
      </c>
      <c r="E57" s="7" t="s">
        <v>60</v>
      </c>
      <c r="F57" s="8">
        <v>265117.31</v>
      </c>
      <c r="G57" s="8">
        <v>154.52000000000001</v>
      </c>
      <c r="H57" s="8">
        <f t="shared" si="0"/>
        <v>318140.772</v>
      </c>
      <c r="I57" s="8">
        <f t="shared" si="1"/>
        <v>429490.04220000003</v>
      </c>
      <c r="J57" s="8">
        <f>(H57*50%)+H57</f>
        <v>477211.158</v>
      </c>
      <c r="K57" s="5">
        <v>60000</v>
      </c>
      <c r="L57" s="5">
        <v>200000</v>
      </c>
      <c r="M57" s="5">
        <v>200000</v>
      </c>
      <c r="N57" s="5">
        <v>17211</v>
      </c>
      <c r="O57" s="8">
        <f t="shared" si="2"/>
        <v>-0.15799999999580905</v>
      </c>
    </row>
    <row r="58" spans="1:15" ht="18" customHeight="1">
      <c r="A58" s="5">
        <v>50</v>
      </c>
      <c r="B58" s="5">
        <v>1961</v>
      </c>
      <c r="C58" s="6" t="s">
        <v>342</v>
      </c>
      <c r="D58" s="5">
        <v>12948</v>
      </c>
      <c r="E58" s="7" t="s">
        <v>61</v>
      </c>
      <c r="F58" s="8">
        <v>411942.3</v>
      </c>
      <c r="G58" s="8">
        <v>230.15</v>
      </c>
      <c r="H58" s="8">
        <f t="shared" si="0"/>
        <v>494330.75999999995</v>
      </c>
      <c r="I58" s="8">
        <f t="shared" si="1"/>
        <v>667346.52599999995</v>
      </c>
      <c r="J58" s="8">
        <f>+I58</f>
        <v>667346.52599999995</v>
      </c>
      <c r="K58" s="8">
        <v>100000</v>
      </c>
      <c r="L58" s="8">
        <v>150000</v>
      </c>
      <c r="M58" s="8">
        <v>300000</v>
      </c>
      <c r="N58" s="8">
        <v>117347</v>
      </c>
      <c r="O58" s="8">
        <f t="shared" si="2"/>
        <v>0.47400000004563481</v>
      </c>
    </row>
    <row r="59" spans="1:15" ht="18" customHeight="1">
      <c r="A59" s="10" t="s">
        <v>12</v>
      </c>
      <c r="B59" s="11"/>
      <c r="C59" s="12"/>
      <c r="D59" s="11" t="s">
        <v>12</v>
      </c>
      <c r="E59" s="13" t="s">
        <v>62</v>
      </c>
      <c r="F59" s="14">
        <f>SUM(F51:F58)</f>
        <v>2450157.02</v>
      </c>
      <c r="G59" s="14">
        <v>209.16</v>
      </c>
      <c r="H59" s="14">
        <f t="shared" si="0"/>
        <v>2940188.4239999996</v>
      </c>
      <c r="I59" s="14">
        <f t="shared" si="1"/>
        <v>3969254.3723999993</v>
      </c>
      <c r="J59" s="14">
        <f>SUM(J51:J58)</f>
        <v>4163812.6121999999</v>
      </c>
      <c r="K59" s="14">
        <f t="shared" ref="K59:O59" si="12">SUM(K51:K58)</f>
        <v>610000</v>
      </c>
      <c r="L59" s="14">
        <f t="shared" si="12"/>
        <v>1450000</v>
      </c>
      <c r="M59" s="14">
        <f t="shared" si="12"/>
        <v>1680000</v>
      </c>
      <c r="N59" s="14">
        <f t="shared" si="12"/>
        <v>423813</v>
      </c>
      <c r="O59" s="14">
        <f t="shared" si="12"/>
        <v>0.38779999996768311</v>
      </c>
    </row>
    <row r="60" spans="1:15" ht="18" customHeight="1">
      <c r="A60" s="15" t="s">
        <v>12</v>
      </c>
      <c r="B60" s="16"/>
      <c r="C60" s="17"/>
      <c r="D60" s="16" t="s">
        <v>12</v>
      </c>
      <c r="E60" s="18" t="s">
        <v>63</v>
      </c>
      <c r="F60" s="19">
        <f>F59+F50+F41+F33+F25+F17+F10</f>
        <v>14588717.219999997</v>
      </c>
      <c r="G60" s="19">
        <v>216.16</v>
      </c>
      <c r="H60" s="19">
        <f t="shared" si="0"/>
        <v>17506460.663999997</v>
      </c>
      <c r="I60" s="19">
        <f t="shared" si="1"/>
        <v>23633721.896399997</v>
      </c>
      <c r="J60" s="19">
        <f>J59+J50+J41+J33+J25+J17+J10</f>
        <v>25210876.1468</v>
      </c>
      <c r="K60" s="19">
        <f t="shared" ref="K60:O60" si="13">K59+K50+K41+K33+K25+K17+K10</f>
        <v>3557478</v>
      </c>
      <c r="L60" s="19">
        <f t="shared" si="13"/>
        <v>9385504</v>
      </c>
      <c r="M60" s="19">
        <f t="shared" si="13"/>
        <v>7339766</v>
      </c>
      <c r="N60" s="19">
        <f t="shared" si="13"/>
        <v>4928127</v>
      </c>
      <c r="O60" s="19">
        <f t="shared" si="13"/>
        <v>-1.1468000001041219</v>
      </c>
    </row>
    <row r="61" spans="1:15" ht="18" customHeight="1">
      <c r="A61" s="5">
        <v>51</v>
      </c>
      <c r="B61" s="5">
        <v>8745</v>
      </c>
      <c r="C61" s="6" t="s">
        <v>343</v>
      </c>
      <c r="D61" s="5">
        <v>11015</v>
      </c>
      <c r="E61" s="7" t="s">
        <v>64</v>
      </c>
      <c r="F61" s="8">
        <v>82380.259999999995</v>
      </c>
      <c r="G61" s="8">
        <v>67.48</v>
      </c>
      <c r="H61" s="8">
        <f t="shared" si="0"/>
        <v>98856.312000000005</v>
      </c>
      <c r="I61" s="8">
        <f t="shared" si="1"/>
        <v>133456.02120000002</v>
      </c>
      <c r="J61" s="5">
        <v>364000</v>
      </c>
      <c r="K61" s="5">
        <v>165000</v>
      </c>
      <c r="L61" s="5"/>
      <c r="M61" s="5">
        <v>200000</v>
      </c>
      <c r="N61" s="5"/>
      <c r="O61" s="8">
        <f t="shared" ref="O61:O112" si="14">(K61+L61+M61+N61)-J61</f>
        <v>1000</v>
      </c>
    </row>
    <row r="62" spans="1:15" ht="18" customHeight="1">
      <c r="A62" s="5">
        <v>52</v>
      </c>
      <c r="B62" s="5">
        <v>5035</v>
      </c>
      <c r="C62" s="6" t="s">
        <v>344</v>
      </c>
      <c r="D62" s="5">
        <v>11014</v>
      </c>
      <c r="E62" s="7" t="s">
        <v>65</v>
      </c>
      <c r="F62" s="8">
        <v>295854.12</v>
      </c>
      <c r="G62" s="8">
        <v>284.16000000000003</v>
      </c>
      <c r="H62" s="8">
        <f t="shared" si="0"/>
        <v>355024.94400000002</v>
      </c>
      <c r="I62" s="8">
        <f t="shared" si="1"/>
        <v>479283.67440000002</v>
      </c>
      <c r="J62" s="8">
        <f t="shared" ref="J62:J68" si="15">+I62</f>
        <v>479283.67440000002</v>
      </c>
      <c r="K62" s="8">
        <v>200000</v>
      </c>
      <c r="L62" s="8"/>
      <c r="M62" s="8">
        <v>280000</v>
      </c>
      <c r="N62" s="8"/>
      <c r="O62" s="8">
        <f t="shared" si="14"/>
        <v>716.32559999998193</v>
      </c>
    </row>
    <row r="63" spans="1:15" ht="18" customHeight="1">
      <c r="A63" s="5">
        <v>53</v>
      </c>
      <c r="B63" s="5">
        <v>2311</v>
      </c>
      <c r="C63" s="6" t="s">
        <v>345</v>
      </c>
      <c r="D63" s="5">
        <v>11013</v>
      </c>
      <c r="E63" s="7" t="s">
        <v>66</v>
      </c>
      <c r="F63" s="8">
        <v>288863.43</v>
      </c>
      <c r="G63" s="8">
        <v>229.29</v>
      </c>
      <c r="H63" s="8">
        <f t="shared" si="0"/>
        <v>346636.11600000004</v>
      </c>
      <c r="I63" s="8">
        <f t="shared" si="1"/>
        <v>467958.75660000002</v>
      </c>
      <c r="J63" s="8">
        <f t="shared" si="15"/>
        <v>467958.75660000002</v>
      </c>
      <c r="K63" s="8">
        <v>250000</v>
      </c>
      <c r="L63" s="8"/>
      <c r="M63" s="8">
        <v>220000</v>
      </c>
      <c r="N63" s="8"/>
      <c r="O63" s="8">
        <f t="shared" si="14"/>
        <v>2041.2433999999776</v>
      </c>
    </row>
    <row r="64" spans="1:15" ht="18" customHeight="1">
      <c r="A64" s="5">
        <v>54</v>
      </c>
      <c r="B64" s="5">
        <v>6818</v>
      </c>
      <c r="C64" s="6" t="s">
        <v>346</v>
      </c>
      <c r="D64" s="5">
        <v>11017</v>
      </c>
      <c r="E64" s="7" t="s">
        <v>67</v>
      </c>
      <c r="F64" s="8">
        <v>282865.49</v>
      </c>
      <c r="G64" s="8">
        <v>235.92</v>
      </c>
      <c r="H64" s="8">
        <f t="shared" si="0"/>
        <v>339438.58799999999</v>
      </c>
      <c r="I64" s="8">
        <f t="shared" si="1"/>
        <v>458242.09379999997</v>
      </c>
      <c r="J64" s="8">
        <f t="shared" si="15"/>
        <v>458242.09379999997</v>
      </c>
      <c r="K64" s="8">
        <v>250000</v>
      </c>
      <c r="L64" s="8"/>
      <c r="M64" s="8">
        <v>210000</v>
      </c>
      <c r="N64" s="8"/>
      <c r="O64" s="8">
        <f t="shared" si="14"/>
        <v>1757.9062000000267</v>
      </c>
    </row>
    <row r="65" spans="1:15" ht="18" customHeight="1">
      <c r="A65" s="5">
        <v>55</v>
      </c>
      <c r="B65" s="5">
        <v>1522</v>
      </c>
      <c r="C65" s="6" t="s">
        <v>347</v>
      </c>
      <c r="D65" s="5">
        <v>12412</v>
      </c>
      <c r="E65" s="7" t="s">
        <v>68</v>
      </c>
      <c r="F65" s="8">
        <v>310832.09000000003</v>
      </c>
      <c r="G65" s="8">
        <v>297.7</v>
      </c>
      <c r="H65" s="8">
        <f t="shared" si="0"/>
        <v>372998.50800000003</v>
      </c>
      <c r="I65" s="8">
        <f t="shared" si="1"/>
        <v>503547.98580000002</v>
      </c>
      <c r="J65" s="8">
        <f t="shared" si="15"/>
        <v>503547.98580000002</v>
      </c>
      <c r="K65" s="8">
        <v>330000</v>
      </c>
      <c r="L65" s="8"/>
      <c r="M65" s="8">
        <v>174000</v>
      </c>
      <c r="N65" s="8"/>
      <c r="O65" s="8">
        <f t="shared" si="14"/>
        <v>452.01419999997597</v>
      </c>
    </row>
    <row r="66" spans="1:15" ht="18" customHeight="1">
      <c r="A66" s="5">
        <v>56</v>
      </c>
      <c r="B66" s="5">
        <v>7627</v>
      </c>
      <c r="C66" s="6" t="s">
        <v>348</v>
      </c>
      <c r="D66" s="5">
        <v>13086</v>
      </c>
      <c r="E66" s="7" t="s">
        <v>69</v>
      </c>
      <c r="F66" s="8">
        <v>343723.56</v>
      </c>
      <c r="G66" s="8">
        <v>293.3</v>
      </c>
      <c r="H66" s="8">
        <f t="shared" si="0"/>
        <v>412468.272</v>
      </c>
      <c r="I66" s="8">
        <f t="shared" si="1"/>
        <v>556832.16720000003</v>
      </c>
      <c r="J66" s="8">
        <f t="shared" si="15"/>
        <v>556832.16720000003</v>
      </c>
      <c r="K66" s="8">
        <v>274000</v>
      </c>
      <c r="L66" s="8"/>
      <c r="M66" s="8">
        <v>285000</v>
      </c>
      <c r="N66" s="8"/>
      <c r="O66" s="8">
        <f t="shared" si="14"/>
        <v>2167.8327999999747</v>
      </c>
    </row>
    <row r="67" spans="1:15" ht="18" customHeight="1">
      <c r="A67" s="5">
        <v>57</v>
      </c>
      <c r="B67" s="5">
        <v>7266</v>
      </c>
      <c r="C67" s="6" t="s">
        <v>349</v>
      </c>
      <c r="D67" s="5">
        <v>13637</v>
      </c>
      <c r="E67" s="7" t="s">
        <v>70</v>
      </c>
      <c r="F67" s="8">
        <v>463244.22</v>
      </c>
      <c r="G67" s="8">
        <v>366.42</v>
      </c>
      <c r="H67" s="8">
        <f t="shared" si="0"/>
        <v>555893.06400000001</v>
      </c>
      <c r="I67" s="8">
        <f t="shared" si="1"/>
        <v>750455.63639999996</v>
      </c>
      <c r="J67" s="8">
        <f t="shared" si="15"/>
        <v>750455.63639999996</v>
      </c>
      <c r="K67" s="8"/>
      <c r="L67" s="8">
        <v>750456</v>
      </c>
      <c r="M67" s="8"/>
      <c r="N67" s="8"/>
      <c r="O67" s="8">
        <f t="shared" si="14"/>
        <v>0.36360000004060566</v>
      </c>
    </row>
    <row r="68" spans="1:15" ht="18" customHeight="1">
      <c r="A68" s="5">
        <v>58</v>
      </c>
      <c r="B68" s="5">
        <v>1698</v>
      </c>
      <c r="C68" s="6" t="s">
        <v>350</v>
      </c>
      <c r="D68" s="5">
        <v>14704</v>
      </c>
      <c r="E68" s="7" t="s">
        <v>71</v>
      </c>
      <c r="F68" s="8">
        <v>238983.19999999998</v>
      </c>
      <c r="G68" s="8">
        <v>251.88</v>
      </c>
      <c r="H68" s="8">
        <f t="shared" ref="H68:H131" si="16">(F68/5)*6</f>
        <v>286779.83999999997</v>
      </c>
      <c r="I68" s="8">
        <f t="shared" ref="I68:I131" si="17">(H68*35%)+H68</f>
        <v>387152.78399999999</v>
      </c>
      <c r="J68" s="8">
        <f t="shared" si="15"/>
        <v>387152.78399999999</v>
      </c>
      <c r="K68" s="8">
        <v>250000</v>
      </c>
      <c r="L68" s="8"/>
      <c r="M68" s="8">
        <v>140000</v>
      </c>
      <c r="N68" s="8"/>
      <c r="O68" s="8">
        <f t="shared" si="14"/>
        <v>2847.2160000000149</v>
      </c>
    </row>
    <row r="69" spans="1:15" ht="18" customHeight="1">
      <c r="A69" s="10" t="s">
        <v>12</v>
      </c>
      <c r="B69" s="11"/>
      <c r="C69" s="12"/>
      <c r="D69" s="11" t="s">
        <v>12</v>
      </c>
      <c r="E69" s="13" t="s">
        <v>72</v>
      </c>
      <c r="F69" s="14">
        <f>SUM(F61:F68)</f>
        <v>2306746.37</v>
      </c>
      <c r="G69" s="14">
        <v>254.09</v>
      </c>
      <c r="H69" s="14">
        <f t="shared" si="16"/>
        <v>2768095.6440000003</v>
      </c>
      <c r="I69" s="14">
        <f t="shared" si="17"/>
        <v>3736929.1194000002</v>
      </c>
      <c r="J69" s="14">
        <f>SUM(J61:J68)</f>
        <v>3967473.0981999999</v>
      </c>
      <c r="K69" s="14">
        <f t="shared" ref="K69:O69" si="18">SUM(K61:K68)</f>
        <v>1719000</v>
      </c>
      <c r="L69" s="14">
        <f t="shared" si="18"/>
        <v>750456</v>
      </c>
      <c r="M69" s="14">
        <f t="shared" si="18"/>
        <v>1509000</v>
      </c>
      <c r="N69" s="14">
        <f t="shared" si="18"/>
        <v>0</v>
      </c>
      <c r="O69" s="14">
        <f t="shared" si="18"/>
        <v>10982.901799999992</v>
      </c>
    </row>
    <row r="70" spans="1:15" ht="18" customHeight="1">
      <c r="A70" s="5">
        <v>59</v>
      </c>
      <c r="B70" s="5">
        <v>3468</v>
      </c>
      <c r="C70" s="6" t="s">
        <v>351</v>
      </c>
      <c r="D70" s="5">
        <v>13262</v>
      </c>
      <c r="E70" s="7" t="s">
        <v>73</v>
      </c>
      <c r="F70" s="8">
        <v>343388.89</v>
      </c>
      <c r="G70" s="8">
        <v>306.98</v>
      </c>
      <c r="H70" s="8">
        <f t="shared" si="16"/>
        <v>412066.66800000006</v>
      </c>
      <c r="I70" s="8">
        <f t="shared" si="17"/>
        <v>556290.00180000009</v>
      </c>
      <c r="J70" s="8">
        <v>556290.00180000009</v>
      </c>
      <c r="K70" s="8"/>
      <c r="L70" s="8">
        <v>200000</v>
      </c>
      <c r="M70" s="8"/>
      <c r="N70" s="8">
        <v>356290</v>
      </c>
      <c r="O70" s="8">
        <f t="shared" si="14"/>
        <v>-1.8000000854954123E-3</v>
      </c>
    </row>
    <row r="71" spans="1:15" ht="18" customHeight="1">
      <c r="A71" s="5">
        <v>60</v>
      </c>
      <c r="B71" s="5">
        <v>7569</v>
      </c>
      <c r="C71" s="6" t="s">
        <v>352</v>
      </c>
      <c r="D71" s="5">
        <v>11012</v>
      </c>
      <c r="E71" s="7" t="s">
        <v>74</v>
      </c>
      <c r="F71" s="8">
        <v>391096.41000000003</v>
      </c>
      <c r="G71" s="8">
        <v>325.36</v>
      </c>
      <c r="H71" s="8">
        <f t="shared" si="16"/>
        <v>469315.69200000004</v>
      </c>
      <c r="I71" s="8">
        <f t="shared" si="17"/>
        <v>633576.18420000002</v>
      </c>
      <c r="J71" s="8">
        <v>633576.18420000002</v>
      </c>
      <c r="K71" s="8"/>
      <c r="L71" s="8">
        <v>150000</v>
      </c>
      <c r="M71" s="8">
        <v>120000</v>
      </c>
      <c r="N71" s="8">
        <v>363576</v>
      </c>
      <c r="O71" s="8">
        <f t="shared" si="14"/>
        <v>-0.18420000001788139</v>
      </c>
    </row>
    <row r="72" spans="1:15" ht="18" customHeight="1">
      <c r="A72" s="5">
        <v>61</v>
      </c>
      <c r="B72" s="5">
        <v>7221</v>
      </c>
      <c r="C72" s="6" t="s">
        <v>353</v>
      </c>
      <c r="D72" s="5">
        <v>11016</v>
      </c>
      <c r="E72" s="7" t="s">
        <v>75</v>
      </c>
      <c r="F72" s="8">
        <v>409632.33</v>
      </c>
      <c r="G72" s="8">
        <v>333.62</v>
      </c>
      <c r="H72" s="8">
        <f t="shared" si="16"/>
        <v>491558.79599999997</v>
      </c>
      <c r="I72" s="8">
        <f t="shared" si="17"/>
        <v>663604.37459999998</v>
      </c>
      <c r="J72" s="8">
        <v>663604.37459999998</v>
      </c>
      <c r="K72" s="8"/>
      <c r="L72" s="8">
        <v>400000</v>
      </c>
      <c r="M72" s="8"/>
      <c r="N72" s="8">
        <v>263604</v>
      </c>
      <c r="O72" s="8">
        <f t="shared" si="14"/>
        <v>-0.37459999998100102</v>
      </c>
    </row>
    <row r="73" spans="1:15" ht="18" customHeight="1">
      <c r="A73" s="5">
        <v>62</v>
      </c>
      <c r="B73" s="5">
        <v>5472</v>
      </c>
      <c r="C73" s="6" t="s">
        <v>354</v>
      </c>
      <c r="D73" s="5">
        <v>13093</v>
      </c>
      <c r="E73" s="7" t="s">
        <v>76</v>
      </c>
      <c r="F73" s="8">
        <v>319978.57</v>
      </c>
      <c r="G73" s="8">
        <v>256.58</v>
      </c>
      <c r="H73" s="8">
        <f t="shared" si="16"/>
        <v>383974.28399999999</v>
      </c>
      <c r="I73" s="8">
        <f t="shared" si="17"/>
        <v>518365.28339999996</v>
      </c>
      <c r="J73" s="8">
        <v>518365.28339999996</v>
      </c>
      <c r="K73" s="8"/>
      <c r="L73" s="8">
        <v>220000</v>
      </c>
      <c r="M73" s="8"/>
      <c r="N73" s="8">
        <v>298365</v>
      </c>
      <c r="O73" s="8">
        <f t="shared" si="14"/>
        <v>-0.28339999995660037</v>
      </c>
    </row>
    <row r="74" spans="1:15" ht="18" customHeight="1">
      <c r="A74" s="5">
        <v>63</v>
      </c>
      <c r="B74" s="5">
        <v>2741</v>
      </c>
      <c r="C74" s="6" t="s">
        <v>355</v>
      </c>
      <c r="D74" s="5">
        <v>11105</v>
      </c>
      <c r="E74" s="7" t="s">
        <v>77</v>
      </c>
      <c r="F74" s="8">
        <v>357980.36</v>
      </c>
      <c r="G74" s="8">
        <v>367.72</v>
      </c>
      <c r="H74" s="8">
        <f t="shared" si="16"/>
        <v>429576.43200000003</v>
      </c>
      <c r="I74" s="8">
        <f t="shared" si="17"/>
        <v>579928.18320000009</v>
      </c>
      <c r="J74" s="8">
        <v>579928.18320000009</v>
      </c>
      <c r="K74" s="8"/>
      <c r="L74" s="8">
        <v>200000</v>
      </c>
      <c r="M74" s="8"/>
      <c r="N74" s="8">
        <v>379928</v>
      </c>
      <c r="O74" s="8">
        <f t="shared" si="14"/>
        <v>-0.18320000008679926</v>
      </c>
    </row>
    <row r="75" spans="1:15" ht="18" customHeight="1">
      <c r="A75" s="5">
        <v>64</v>
      </c>
      <c r="B75" s="5">
        <v>6494</v>
      </c>
      <c r="C75" s="6" t="s">
        <v>356</v>
      </c>
      <c r="D75" s="5">
        <v>11101</v>
      </c>
      <c r="E75" s="7" t="s">
        <v>78</v>
      </c>
      <c r="F75" s="8">
        <v>265131.64</v>
      </c>
      <c r="G75" s="8">
        <v>278.39</v>
      </c>
      <c r="H75" s="8">
        <f t="shared" si="16"/>
        <v>318157.96799999999</v>
      </c>
      <c r="I75" s="8">
        <f t="shared" si="17"/>
        <v>429513.25679999997</v>
      </c>
      <c r="J75" s="8">
        <v>429513.25679999997</v>
      </c>
      <c r="K75" s="8"/>
      <c r="L75" s="8">
        <v>150000</v>
      </c>
      <c r="M75" s="8"/>
      <c r="N75" s="8">
        <v>279513</v>
      </c>
      <c r="O75" s="8">
        <f t="shared" si="14"/>
        <v>-0.2567999999737367</v>
      </c>
    </row>
    <row r="76" spans="1:15" ht="18" customHeight="1">
      <c r="A76" s="5">
        <v>65</v>
      </c>
      <c r="B76" s="5">
        <v>3680</v>
      </c>
      <c r="C76" s="6" t="s">
        <v>357</v>
      </c>
      <c r="D76" s="5">
        <v>12228</v>
      </c>
      <c r="E76" s="7" t="s">
        <v>79</v>
      </c>
      <c r="F76" s="8">
        <v>547432.35</v>
      </c>
      <c r="G76" s="8">
        <v>324.77</v>
      </c>
      <c r="H76" s="8">
        <f t="shared" si="16"/>
        <v>656918.82000000007</v>
      </c>
      <c r="I76" s="8">
        <f t="shared" si="17"/>
        <v>886840.40700000012</v>
      </c>
      <c r="J76" s="8">
        <v>886840.40700000012</v>
      </c>
      <c r="K76" s="8"/>
      <c r="L76" s="8"/>
      <c r="M76" s="8">
        <v>886840.40700000012</v>
      </c>
      <c r="N76" s="8"/>
      <c r="O76" s="8">
        <f t="shared" si="14"/>
        <v>0</v>
      </c>
    </row>
    <row r="77" spans="1:15" ht="18" customHeight="1">
      <c r="A77" s="5">
        <v>66</v>
      </c>
      <c r="B77" s="5">
        <v>2253</v>
      </c>
      <c r="C77" s="6" t="s">
        <v>358</v>
      </c>
      <c r="D77" s="5">
        <v>11018</v>
      </c>
      <c r="E77" s="7" t="s">
        <v>80</v>
      </c>
      <c r="F77" s="8">
        <v>373370.54</v>
      </c>
      <c r="G77" s="8">
        <v>224.4</v>
      </c>
      <c r="H77" s="8">
        <f t="shared" si="16"/>
        <v>448044.64799999993</v>
      </c>
      <c r="I77" s="8">
        <f t="shared" si="17"/>
        <v>604860.2747999999</v>
      </c>
      <c r="J77" s="8">
        <v>604860.2747999999</v>
      </c>
      <c r="K77" s="8"/>
      <c r="L77" s="8"/>
      <c r="M77" s="8">
        <v>604860.2747999999</v>
      </c>
      <c r="N77" s="8"/>
      <c r="O77" s="8">
        <f t="shared" si="14"/>
        <v>0</v>
      </c>
    </row>
    <row r="78" spans="1:15" ht="18" customHeight="1">
      <c r="A78" s="10" t="s">
        <v>12</v>
      </c>
      <c r="B78" s="11"/>
      <c r="C78" s="12"/>
      <c r="D78" s="11" t="s">
        <v>12</v>
      </c>
      <c r="E78" s="13" t="s">
        <v>81</v>
      </c>
      <c r="F78" s="14">
        <f>SUM(F70:F77)</f>
        <v>3008011.0900000003</v>
      </c>
      <c r="G78" s="14">
        <v>299.31</v>
      </c>
      <c r="H78" s="14">
        <f t="shared" si="16"/>
        <v>3609613.3080000007</v>
      </c>
      <c r="I78" s="14">
        <f t="shared" si="17"/>
        <v>4872977.9658000004</v>
      </c>
      <c r="J78" s="14">
        <f>SUM(J70:J77)</f>
        <v>4872977.9658000004</v>
      </c>
      <c r="K78" s="14">
        <f t="shared" ref="K78:O78" si="19">SUM(K70:K77)</f>
        <v>0</v>
      </c>
      <c r="L78" s="14">
        <f t="shared" si="19"/>
        <v>1320000</v>
      </c>
      <c r="M78" s="14">
        <f t="shared" si="19"/>
        <v>1611700.6817999999</v>
      </c>
      <c r="N78" s="14">
        <f t="shared" si="19"/>
        <v>1941276</v>
      </c>
      <c r="O78" s="14">
        <f t="shared" si="19"/>
        <v>-1.2840000001015142</v>
      </c>
    </row>
    <row r="79" spans="1:15" ht="18" customHeight="1">
      <c r="A79" s="5">
        <v>67</v>
      </c>
      <c r="B79" s="5">
        <v>5498</v>
      </c>
      <c r="C79" s="6" t="s">
        <v>359</v>
      </c>
      <c r="D79" s="5">
        <v>11100</v>
      </c>
      <c r="E79" s="7" t="s">
        <v>82</v>
      </c>
      <c r="F79" s="8">
        <v>566416.42999999993</v>
      </c>
      <c r="G79" s="8">
        <v>296.3</v>
      </c>
      <c r="H79" s="8">
        <f t="shared" si="16"/>
        <v>679699.71600000001</v>
      </c>
      <c r="I79" s="8">
        <f t="shared" si="17"/>
        <v>917594.61660000007</v>
      </c>
      <c r="J79" s="8">
        <f t="shared" ref="J79:J86" si="20">+I79</f>
        <v>917594.61660000007</v>
      </c>
      <c r="K79" s="8"/>
      <c r="L79" s="8">
        <v>300000</v>
      </c>
      <c r="M79" s="8"/>
      <c r="N79" s="8">
        <v>617595</v>
      </c>
      <c r="O79" s="8">
        <f t="shared" si="14"/>
        <v>0.3833999999333173</v>
      </c>
    </row>
    <row r="80" spans="1:15" ht="18" customHeight="1">
      <c r="A80" s="5">
        <v>68</v>
      </c>
      <c r="B80" s="5">
        <v>6958</v>
      </c>
      <c r="C80" s="6" t="s">
        <v>360</v>
      </c>
      <c r="D80" s="5">
        <v>11102</v>
      </c>
      <c r="E80" s="7" t="s">
        <v>83</v>
      </c>
      <c r="F80" s="8">
        <v>569551.18999999994</v>
      </c>
      <c r="G80" s="8">
        <v>286.35000000000002</v>
      </c>
      <c r="H80" s="8">
        <f t="shared" si="16"/>
        <v>683461.42799999984</v>
      </c>
      <c r="I80" s="8">
        <f t="shared" si="17"/>
        <v>922672.92779999971</v>
      </c>
      <c r="J80" s="8">
        <f t="shared" si="20"/>
        <v>922672.92779999971</v>
      </c>
      <c r="K80" s="8"/>
      <c r="L80" s="8">
        <v>350000</v>
      </c>
      <c r="M80" s="8">
        <v>200000</v>
      </c>
      <c r="N80" s="8">
        <v>372673</v>
      </c>
      <c r="O80" s="8">
        <f t="shared" si="14"/>
        <v>7.2200000286102295E-2</v>
      </c>
    </row>
    <row r="81" spans="1:15" ht="18" customHeight="1">
      <c r="A81" s="5">
        <v>69</v>
      </c>
      <c r="B81" s="5">
        <v>5067</v>
      </c>
      <c r="C81" s="6" t="s">
        <v>361</v>
      </c>
      <c r="D81" s="5">
        <v>12908</v>
      </c>
      <c r="E81" s="7" t="s">
        <v>84</v>
      </c>
      <c r="F81" s="8">
        <v>537708.71</v>
      </c>
      <c r="G81" s="8">
        <v>294.97000000000003</v>
      </c>
      <c r="H81" s="8">
        <f t="shared" si="16"/>
        <v>645250.45200000005</v>
      </c>
      <c r="I81" s="8">
        <f t="shared" si="17"/>
        <v>871088.1102</v>
      </c>
      <c r="J81" s="8">
        <f t="shared" si="20"/>
        <v>871088.1102</v>
      </c>
      <c r="K81" s="8"/>
      <c r="L81" s="8">
        <v>400000</v>
      </c>
      <c r="M81" s="8"/>
      <c r="N81" s="8">
        <v>471088</v>
      </c>
      <c r="O81" s="8">
        <f t="shared" si="14"/>
        <v>-0.11019999999552965</v>
      </c>
    </row>
    <row r="82" spans="1:15" ht="18" customHeight="1">
      <c r="A82" s="5">
        <v>70</v>
      </c>
      <c r="B82" s="5">
        <v>809</v>
      </c>
      <c r="C82" s="6" t="s">
        <v>362</v>
      </c>
      <c r="D82" s="5">
        <v>11103</v>
      </c>
      <c r="E82" s="7" t="s">
        <v>85</v>
      </c>
      <c r="F82" s="8">
        <v>432632.93</v>
      </c>
      <c r="G82" s="8">
        <v>285.68</v>
      </c>
      <c r="H82" s="8">
        <f t="shared" si="16"/>
        <v>519159.51599999995</v>
      </c>
      <c r="I82" s="8">
        <f t="shared" si="17"/>
        <v>700865.34659999993</v>
      </c>
      <c r="J82" s="8">
        <f t="shared" si="20"/>
        <v>700865.34659999993</v>
      </c>
      <c r="K82" s="8"/>
      <c r="L82" s="8">
        <v>200000</v>
      </c>
      <c r="M82" s="8">
        <v>150000</v>
      </c>
      <c r="N82" s="8">
        <v>350865</v>
      </c>
      <c r="O82" s="8">
        <f t="shared" si="14"/>
        <v>-0.34659999993164092</v>
      </c>
    </row>
    <row r="83" spans="1:15" ht="18" customHeight="1">
      <c r="A83" s="5">
        <v>71</v>
      </c>
      <c r="B83" s="5">
        <v>6661</v>
      </c>
      <c r="C83" s="6" t="s">
        <v>363</v>
      </c>
      <c r="D83" s="5">
        <v>12544</v>
      </c>
      <c r="E83" s="7" t="s">
        <v>86</v>
      </c>
      <c r="F83" s="8">
        <v>341657.47</v>
      </c>
      <c r="G83" s="8">
        <v>230.2</v>
      </c>
      <c r="H83" s="8">
        <f t="shared" si="16"/>
        <v>409988.96399999992</v>
      </c>
      <c r="I83" s="8">
        <f t="shared" si="17"/>
        <v>553485.10139999981</v>
      </c>
      <c r="J83" s="8">
        <f t="shared" si="20"/>
        <v>553485.10139999981</v>
      </c>
      <c r="K83" s="8"/>
      <c r="L83" s="8">
        <v>200000</v>
      </c>
      <c r="M83" s="8"/>
      <c r="N83" s="8">
        <v>353485</v>
      </c>
      <c r="O83" s="8">
        <f t="shared" si="14"/>
        <v>-0.10139999981038272</v>
      </c>
    </row>
    <row r="84" spans="1:15" ht="18" customHeight="1">
      <c r="A84" s="5">
        <v>72</v>
      </c>
      <c r="B84" s="5">
        <v>8767</v>
      </c>
      <c r="C84" s="26" t="s">
        <v>529</v>
      </c>
      <c r="D84" s="5">
        <v>13179</v>
      </c>
      <c r="E84" s="7" t="s">
        <v>87</v>
      </c>
      <c r="F84" s="8">
        <v>358925.88</v>
      </c>
      <c r="G84" s="8">
        <v>264.75</v>
      </c>
      <c r="H84" s="8">
        <f t="shared" si="16"/>
        <v>430711.05600000004</v>
      </c>
      <c r="I84" s="8">
        <f t="shared" si="17"/>
        <v>581459.92560000008</v>
      </c>
      <c r="J84" s="8">
        <f t="shared" si="20"/>
        <v>581459.92560000008</v>
      </c>
      <c r="K84" s="8"/>
      <c r="L84" s="8">
        <v>250000</v>
      </c>
      <c r="M84" s="8"/>
      <c r="N84" s="8">
        <v>331460</v>
      </c>
      <c r="O84" s="8">
        <f t="shared" si="14"/>
        <v>7.43999999249354E-2</v>
      </c>
    </row>
    <row r="85" spans="1:15" ht="18" customHeight="1">
      <c r="A85" s="5">
        <v>73</v>
      </c>
      <c r="B85" s="5">
        <v>7582</v>
      </c>
      <c r="C85" s="6" t="s">
        <v>364</v>
      </c>
      <c r="D85" s="5">
        <v>14535</v>
      </c>
      <c r="E85" s="7" t="s">
        <v>88</v>
      </c>
      <c r="F85" s="8">
        <v>339008.56000000006</v>
      </c>
      <c r="G85" s="8">
        <v>265.31</v>
      </c>
      <c r="H85" s="8">
        <f t="shared" si="16"/>
        <v>406810.27200000011</v>
      </c>
      <c r="I85" s="8">
        <f t="shared" si="17"/>
        <v>549193.86720000021</v>
      </c>
      <c r="J85" s="8">
        <f t="shared" si="20"/>
        <v>549193.86720000021</v>
      </c>
      <c r="K85" s="8"/>
      <c r="L85" s="8">
        <v>250000</v>
      </c>
      <c r="M85" s="8"/>
      <c r="N85" s="8">
        <v>299194</v>
      </c>
      <c r="O85" s="8">
        <f t="shared" si="14"/>
        <v>0.13279999978840351</v>
      </c>
    </row>
    <row r="86" spans="1:15" ht="18" customHeight="1">
      <c r="A86" s="5">
        <v>74</v>
      </c>
      <c r="B86" s="5">
        <v>1893</v>
      </c>
      <c r="C86" s="6" t="s">
        <v>365</v>
      </c>
      <c r="D86" s="5">
        <v>11104</v>
      </c>
      <c r="E86" s="7" t="s">
        <v>89</v>
      </c>
      <c r="F86" s="8">
        <v>494375.63</v>
      </c>
      <c r="G86" s="8">
        <v>336.89</v>
      </c>
      <c r="H86" s="8">
        <f t="shared" si="16"/>
        <v>593250.75600000005</v>
      </c>
      <c r="I86" s="8">
        <f t="shared" si="17"/>
        <v>800888.52060000005</v>
      </c>
      <c r="J86" s="8">
        <f t="shared" si="20"/>
        <v>800888.52060000005</v>
      </c>
      <c r="K86" s="8"/>
      <c r="L86" s="8">
        <v>400000</v>
      </c>
      <c r="M86" s="8"/>
      <c r="N86" s="8">
        <v>400889</v>
      </c>
      <c r="O86" s="8">
        <f t="shared" si="14"/>
        <v>0.47939999995287508</v>
      </c>
    </row>
    <row r="87" spans="1:15" ht="18" customHeight="1">
      <c r="A87" s="10" t="s">
        <v>12</v>
      </c>
      <c r="B87" s="11"/>
      <c r="C87" s="12"/>
      <c r="D87" s="11" t="s">
        <v>12</v>
      </c>
      <c r="E87" s="13" t="s">
        <v>90</v>
      </c>
      <c r="F87" s="14">
        <f>SUM(F79:F86)</f>
        <v>3640276.7999999993</v>
      </c>
      <c r="G87" s="14">
        <v>284.07</v>
      </c>
      <c r="H87" s="14">
        <f t="shared" si="16"/>
        <v>4368332.1599999992</v>
      </c>
      <c r="I87" s="14">
        <f t="shared" si="17"/>
        <v>5897248.4159999993</v>
      </c>
      <c r="J87" s="14">
        <f>SUM(J79:J86)</f>
        <v>5897248.4160000002</v>
      </c>
      <c r="K87" s="14">
        <f t="shared" ref="K87:O87" si="21">SUM(K79:K86)</f>
        <v>0</v>
      </c>
      <c r="L87" s="14">
        <f t="shared" si="21"/>
        <v>2350000</v>
      </c>
      <c r="M87" s="14">
        <f t="shared" si="21"/>
        <v>350000</v>
      </c>
      <c r="N87" s="14">
        <f t="shared" si="21"/>
        <v>3197249</v>
      </c>
      <c r="O87" s="14">
        <f t="shared" si="21"/>
        <v>0.58400000014808029</v>
      </c>
    </row>
    <row r="88" spans="1:15" ht="18" customHeight="1">
      <c r="A88" s="5">
        <v>75</v>
      </c>
      <c r="B88" s="5">
        <v>1806</v>
      </c>
      <c r="C88" s="6" t="s">
        <v>366</v>
      </c>
      <c r="D88" s="5">
        <v>11126</v>
      </c>
      <c r="E88" s="7" t="s">
        <v>91</v>
      </c>
      <c r="F88" s="8">
        <v>514087.37000000005</v>
      </c>
      <c r="G88" s="8">
        <v>355.98</v>
      </c>
      <c r="H88" s="8">
        <f t="shared" si="16"/>
        <v>616904.84400000004</v>
      </c>
      <c r="I88" s="8">
        <f t="shared" si="17"/>
        <v>832821.53940000001</v>
      </c>
      <c r="J88" s="8">
        <v>832821.53940000001</v>
      </c>
      <c r="K88" s="8">
        <v>50000</v>
      </c>
      <c r="L88" s="8">
        <v>400000</v>
      </c>
      <c r="M88" s="8">
        <v>250000</v>
      </c>
      <c r="N88" s="8">
        <v>133000</v>
      </c>
      <c r="O88" s="8">
        <f t="shared" si="14"/>
        <v>178.46059999999125</v>
      </c>
    </row>
    <row r="89" spans="1:15" ht="18" customHeight="1">
      <c r="A89" s="5">
        <v>76</v>
      </c>
      <c r="B89" s="5">
        <v>5869</v>
      </c>
      <c r="C89" s="6" t="s">
        <v>367</v>
      </c>
      <c r="D89" s="5">
        <v>13238</v>
      </c>
      <c r="E89" s="7" t="s">
        <v>92</v>
      </c>
      <c r="F89" s="8">
        <v>381001.43</v>
      </c>
      <c r="G89" s="8">
        <v>302.56</v>
      </c>
      <c r="H89" s="8">
        <f t="shared" si="16"/>
        <v>457201.71599999996</v>
      </c>
      <c r="I89" s="8">
        <f t="shared" si="17"/>
        <v>617222.3165999999</v>
      </c>
      <c r="J89" s="8">
        <v>617222.3165999999</v>
      </c>
      <c r="K89" s="8">
        <v>100000</v>
      </c>
      <c r="L89" s="8">
        <v>165000</v>
      </c>
      <c r="M89" s="8">
        <v>300000</v>
      </c>
      <c r="N89" s="8">
        <v>55000</v>
      </c>
      <c r="O89" s="8">
        <f t="shared" si="14"/>
        <v>2777.6834000000963</v>
      </c>
    </row>
    <row r="90" spans="1:15" ht="18" customHeight="1">
      <c r="A90" s="5">
        <v>77</v>
      </c>
      <c r="B90" s="5">
        <v>6867</v>
      </c>
      <c r="C90" s="6" t="s">
        <v>368</v>
      </c>
      <c r="D90" s="5">
        <v>11127</v>
      </c>
      <c r="E90" s="7" t="s">
        <v>93</v>
      </c>
      <c r="F90" s="8">
        <v>325694.81000000006</v>
      </c>
      <c r="G90" s="8">
        <v>229.91</v>
      </c>
      <c r="H90" s="8">
        <f t="shared" si="16"/>
        <v>390833.77200000011</v>
      </c>
      <c r="I90" s="8">
        <f t="shared" si="17"/>
        <v>527625.59220000019</v>
      </c>
      <c r="J90" s="8">
        <v>527625.59220000019</v>
      </c>
      <c r="K90" s="8">
        <v>50000</v>
      </c>
      <c r="L90" s="8">
        <v>80000</v>
      </c>
      <c r="M90" s="8">
        <v>350000</v>
      </c>
      <c r="N90" s="8">
        <v>50000</v>
      </c>
      <c r="O90" s="8">
        <f t="shared" si="14"/>
        <v>2374.4077999998117</v>
      </c>
    </row>
    <row r="91" spans="1:15" ht="18" customHeight="1">
      <c r="A91" s="5">
        <v>78</v>
      </c>
      <c r="B91" s="5">
        <v>1594</v>
      </c>
      <c r="C91" s="6" t="s">
        <v>369</v>
      </c>
      <c r="D91" s="5">
        <v>11125</v>
      </c>
      <c r="E91" s="7" t="s">
        <v>94</v>
      </c>
      <c r="F91" s="8">
        <v>280967.27999999997</v>
      </c>
      <c r="G91" s="8">
        <v>192.46</v>
      </c>
      <c r="H91" s="8">
        <f t="shared" si="16"/>
        <v>337160.73599999992</v>
      </c>
      <c r="I91" s="8">
        <f t="shared" si="17"/>
        <v>455166.99359999987</v>
      </c>
      <c r="J91" s="8">
        <v>580519.98363743979</v>
      </c>
      <c r="K91" s="5">
        <v>41000</v>
      </c>
      <c r="L91" s="5">
        <v>70000</v>
      </c>
      <c r="M91" s="5">
        <v>350000</v>
      </c>
      <c r="N91" s="5">
        <v>120000</v>
      </c>
      <c r="O91" s="8">
        <f t="shared" si="14"/>
        <v>480.01636256021447</v>
      </c>
    </row>
    <row r="92" spans="1:15" ht="18" customHeight="1">
      <c r="A92" s="5">
        <v>79</v>
      </c>
      <c r="B92" s="5">
        <v>3676</v>
      </c>
      <c r="C92" s="6" t="s">
        <v>370</v>
      </c>
      <c r="D92" s="5">
        <v>12294</v>
      </c>
      <c r="E92" s="7" t="s">
        <v>95</v>
      </c>
      <c r="F92" s="8">
        <v>511303.37</v>
      </c>
      <c r="G92" s="8">
        <v>362.46</v>
      </c>
      <c r="H92" s="8">
        <f t="shared" si="16"/>
        <v>613564.04399999999</v>
      </c>
      <c r="I92" s="8">
        <f t="shared" si="17"/>
        <v>828311.45940000005</v>
      </c>
      <c r="J92" s="8">
        <v>828311.45940000005</v>
      </c>
      <c r="K92" s="8">
        <v>100000</v>
      </c>
      <c r="L92" s="8">
        <v>200000</v>
      </c>
      <c r="M92" s="8">
        <v>400000</v>
      </c>
      <c r="N92" s="8">
        <v>129000</v>
      </c>
      <c r="O92" s="8">
        <f t="shared" si="14"/>
        <v>688.54059999994934</v>
      </c>
    </row>
    <row r="93" spans="1:15" ht="18" customHeight="1">
      <c r="A93" s="5">
        <v>80</v>
      </c>
      <c r="B93" s="5">
        <v>6253</v>
      </c>
      <c r="C93" s="6" t="s">
        <v>371</v>
      </c>
      <c r="D93" s="5">
        <v>11124</v>
      </c>
      <c r="E93" s="7" t="s">
        <v>96</v>
      </c>
      <c r="F93" s="8">
        <v>287020.77</v>
      </c>
      <c r="G93" s="8">
        <v>224.56</v>
      </c>
      <c r="H93" s="8">
        <f t="shared" si="16"/>
        <v>344424.924</v>
      </c>
      <c r="I93" s="8">
        <f t="shared" si="17"/>
        <v>464973.64740000002</v>
      </c>
      <c r="J93" s="8">
        <v>464973.64740000002</v>
      </c>
      <c r="K93" s="8">
        <v>50000</v>
      </c>
      <c r="L93" s="8">
        <v>65000</v>
      </c>
      <c r="M93" s="8">
        <v>220000</v>
      </c>
      <c r="N93" s="8">
        <v>130000</v>
      </c>
      <c r="O93" s="8">
        <f t="shared" si="14"/>
        <v>26.352599999983795</v>
      </c>
    </row>
    <row r="94" spans="1:15" ht="18" customHeight="1">
      <c r="A94" s="5">
        <v>81</v>
      </c>
      <c r="B94" s="5">
        <v>4159</v>
      </c>
      <c r="C94" s="6" t="s">
        <v>372</v>
      </c>
      <c r="D94" s="5">
        <v>11121</v>
      </c>
      <c r="E94" s="7" t="s">
        <v>97</v>
      </c>
      <c r="F94" s="8">
        <v>247498.46000000002</v>
      </c>
      <c r="G94" s="8">
        <v>216.71</v>
      </c>
      <c r="H94" s="8">
        <f t="shared" si="16"/>
        <v>296998.152</v>
      </c>
      <c r="I94" s="8">
        <f t="shared" si="17"/>
        <v>400947.50520000001</v>
      </c>
      <c r="J94" s="8">
        <v>414138.67812108004</v>
      </c>
      <c r="K94" s="5">
        <v>50000</v>
      </c>
      <c r="L94" s="5">
        <v>105000</v>
      </c>
      <c r="M94" s="5">
        <v>175000</v>
      </c>
      <c r="N94" s="5">
        <v>85000</v>
      </c>
      <c r="O94" s="8">
        <f t="shared" si="14"/>
        <v>861.32187891996</v>
      </c>
    </row>
    <row r="95" spans="1:15" ht="18" customHeight="1">
      <c r="A95" s="5">
        <v>82</v>
      </c>
      <c r="B95" s="5">
        <v>3265</v>
      </c>
      <c r="C95" s="6" t="s">
        <v>373</v>
      </c>
      <c r="D95" s="5">
        <v>14710</v>
      </c>
      <c r="E95" s="7" t="s">
        <v>98</v>
      </c>
      <c r="F95" s="8">
        <v>146314.49</v>
      </c>
      <c r="G95" s="8">
        <v>125.93</v>
      </c>
      <c r="H95" s="8">
        <f t="shared" si="16"/>
        <v>175577.38799999998</v>
      </c>
      <c r="I95" s="8">
        <f t="shared" si="17"/>
        <v>237029.47379999998</v>
      </c>
      <c r="J95" s="8">
        <v>460003.09980366001</v>
      </c>
      <c r="K95" s="5">
        <v>30000</v>
      </c>
      <c r="L95" s="5">
        <v>41000</v>
      </c>
      <c r="M95" s="5">
        <v>200000</v>
      </c>
      <c r="N95" s="5">
        <v>190000</v>
      </c>
      <c r="O95" s="8">
        <f t="shared" si="14"/>
        <v>996.90019633999327</v>
      </c>
    </row>
    <row r="96" spans="1:15" ht="18" customHeight="1">
      <c r="A96" s="10" t="s">
        <v>12</v>
      </c>
      <c r="B96" s="11"/>
      <c r="C96" s="12"/>
      <c r="D96" s="11" t="s">
        <v>12</v>
      </c>
      <c r="E96" s="13" t="s">
        <v>99</v>
      </c>
      <c r="F96" s="14">
        <f>SUM(F88:F95)</f>
        <v>2693887.9800000004</v>
      </c>
      <c r="G96" s="14">
        <v>255.02</v>
      </c>
      <c r="H96" s="14">
        <f t="shared" si="16"/>
        <v>3232665.5760000008</v>
      </c>
      <c r="I96" s="14">
        <f t="shared" si="17"/>
        <v>4364098.5276000015</v>
      </c>
      <c r="J96" s="14">
        <f>SUM(J88:J95)</f>
        <v>4725616.3165621795</v>
      </c>
      <c r="K96" s="14">
        <f t="shared" ref="K96:O96" si="22">SUM(K88:K95)</f>
        <v>471000</v>
      </c>
      <c r="L96" s="14">
        <f t="shared" si="22"/>
        <v>1126000</v>
      </c>
      <c r="M96" s="14">
        <f t="shared" si="22"/>
        <v>2245000</v>
      </c>
      <c r="N96" s="14">
        <f t="shared" si="22"/>
        <v>892000</v>
      </c>
      <c r="O96" s="14">
        <f t="shared" si="22"/>
        <v>8383.6834378200001</v>
      </c>
    </row>
    <row r="97" spans="1:15" ht="18" customHeight="1">
      <c r="A97" s="5">
        <v>83</v>
      </c>
      <c r="B97" s="5">
        <v>4036</v>
      </c>
      <c r="C97" s="6" t="s">
        <v>374</v>
      </c>
      <c r="D97" s="5">
        <v>11076</v>
      </c>
      <c r="E97" s="7" t="s">
        <v>100</v>
      </c>
      <c r="F97" s="8">
        <v>345412.81</v>
      </c>
      <c r="G97" s="8">
        <v>228.68</v>
      </c>
      <c r="H97" s="8">
        <f t="shared" si="16"/>
        <v>414495.37200000003</v>
      </c>
      <c r="I97" s="8">
        <f t="shared" si="17"/>
        <v>559568.75219999999</v>
      </c>
      <c r="J97" s="8">
        <f t="shared" ref="J97:J103" si="23">+I97</f>
        <v>559568.75219999999</v>
      </c>
      <c r="K97" s="8">
        <v>259569</v>
      </c>
      <c r="L97" s="8"/>
      <c r="M97" s="8">
        <v>300000</v>
      </c>
      <c r="N97" s="8"/>
      <c r="O97" s="8">
        <f t="shared" si="14"/>
        <v>0.24780000001192093</v>
      </c>
    </row>
    <row r="98" spans="1:15" ht="18" customHeight="1">
      <c r="A98" s="5">
        <v>84</v>
      </c>
      <c r="B98" s="5">
        <v>5138</v>
      </c>
      <c r="C98" s="6" t="s">
        <v>375</v>
      </c>
      <c r="D98" s="5">
        <v>12938</v>
      </c>
      <c r="E98" s="7" t="s">
        <v>101</v>
      </c>
      <c r="F98" s="8">
        <v>368415.91000000003</v>
      </c>
      <c r="G98" s="8">
        <v>258.79000000000002</v>
      </c>
      <c r="H98" s="8">
        <f t="shared" si="16"/>
        <v>442099.092</v>
      </c>
      <c r="I98" s="8">
        <f t="shared" si="17"/>
        <v>596833.77419999999</v>
      </c>
      <c r="J98" s="8">
        <f t="shared" si="23"/>
        <v>596833.77419999999</v>
      </c>
      <c r="K98" s="8">
        <v>296834</v>
      </c>
      <c r="L98" s="8"/>
      <c r="M98" s="8">
        <v>300000</v>
      </c>
      <c r="N98" s="8"/>
      <c r="O98" s="8">
        <f t="shared" si="14"/>
        <v>0.2258000000147149</v>
      </c>
    </row>
    <row r="99" spans="1:15" ht="18" customHeight="1">
      <c r="A99" s="5">
        <v>85</v>
      </c>
      <c r="B99" s="5">
        <v>1619</v>
      </c>
      <c r="C99" s="6" t="s">
        <v>376</v>
      </c>
      <c r="D99" s="5">
        <v>11071</v>
      </c>
      <c r="E99" s="7" t="s">
        <v>102</v>
      </c>
      <c r="F99" s="8">
        <v>332786.53999999998</v>
      </c>
      <c r="G99" s="8">
        <v>275.39999999999998</v>
      </c>
      <c r="H99" s="8">
        <f t="shared" si="16"/>
        <v>399343.84799999994</v>
      </c>
      <c r="I99" s="8">
        <f t="shared" si="17"/>
        <v>539114.19479999994</v>
      </c>
      <c r="J99" s="8">
        <f t="shared" si="23"/>
        <v>539114.19479999994</v>
      </c>
      <c r="K99" s="8">
        <v>50000</v>
      </c>
      <c r="L99" s="8">
        <v>190000</v>
      </c>
      <c r="M99" s="8">
        <v>250000</v>
      </c>
      <c r="N99" s="8">
        <v>49114</v>
      </c>
      <c r="O99" s="8">
        <f t="shared" si="14"/>
        <v>-0.19479999993927777</v>
      </c>
    </row>
    <row r="100" spans="1:15" ht="18" customHeight="1">
      <c r="A100" s="5">
        <v>86</v>
      </c>
      <c r="B100" s="5">
        <v>2921</v>
      </c>
      <c r="C100" s="6" t="s">
        <v>377</v>
      </c>
      <c r="D100" s="5">
        <v>14658</v>
      </c>
      <c r="E100" s="7" t="s">
        <v>103</v>
      </c>
      <c r="F100" s="8">
        <v>346701.62</v>
      </c>
      <c r="G100" s="8">
        <v>325.02999999999997</v>
      </c>
      <c r="H100" s="8">
        <f t="shared" si="16"/>
        <v>416041.94399999996</v>
      </c>
      <c r="I100" s="8">
        <f t="shared" si="17"/>
        <v>561656.62439999997</v>
      </c>
      <c r="J100" s="8">
        <f t="shared" si="23"/>
        <v>561656.62439999997</v>
      </c>
      <c r="K100" s="8">
        <v>150000</v>
      </c>
      <c r="L100" s="8">
        <v>200000</v>
      </c>
      <c r="M100" s="8">
        <v>150000</v>
      </c>
      <c r="N100" s="8">
        <v>61657</v>
      </c>
      <c r="O100" s="8">
        <f t="shared" si="14"/>
        <v>0.37560000002849847</v>
      </c>
    </row>
    <row r="101" spans="1:15" ht="18" customHeight="1">
      <c r="A101" s="5">
        <v>87</v>
      </c>
      <c r="B101" s="5">
        <v>1701</v>
      </c>
      <c r="C101" s="6" t="s">
        <v>378</v>
      </c>
      <c r="D101" s="5">
        <v>11072</v>
      </c>
      <c r="E101" s="7" t="s">
        <v>104</v>
      </c>
      <c r="F101" s="8">
        <v>382773.92</v>
      </c>
      <c r="G101" s="8">
        <v>259.25</v>
      </c>
      <c r="H101" s="8">
        <f t="shared" si="16"/>
        <v>459328.70400000003</v>
      </c>
      <c r="I101" s="8">
        <f t="shared" si="17"/>
        <v>620093.75040000002</v>
      </c>
      <c r="J101" s="8">
        <f t="shared" si="23"/>
        <v>620093.75040000002</v>
      </c>
      <c r="K101" s="8">
        <v>100000</v>
      </c>
      <c r="L101" s="8">
        <v>250000</v>
      </c>
      <c r="M101" s="8">
        <v>200000</v>
      </c>
      <c r="N101" s="8">
        <v>70094</v>
      </c>
      <c r="O101" s="8">
        <f t="shared" si="14"/>
        <v>0.24959999998100102</v>
      </c>
    </row>
    <row r="102" spans="1:15" ht="18" customHeight="1">
      <c r="A102" s="5">
        <v>88</v>
      </c>
      <c r="B102" s="5">
        <v>7302</v>
      </c>
      <c r="C102" s="6" t="s">
        <v>379</v>
      </c>
      <c r="D102" s="5">
        <v>13107</v>
      </c>
      <c r="E102" s="7" t="s">
        <v>105</v>
      </c>
      <c r="F102" s="8">
        <v>361266.07999999996</v>
      </c>
      <c r="G102" s="8">
        <v>249.09</v>
      </c>
      <c r="H102" s="8">
        <f t="shared" si="16"/>
        <v>433519.29599999991</v>
      </c>
      <c r="I102" s="8">
        <f t="shared" si="17"/>
        <v>585251.04959999991</v>
      </c>
      <c r="J102" s="8">
        <f t="shared" si="23"/>
        <v>585251.04959999991</v>
      </c>
      <c r="K102" s="8">
        <v>150000</v>
      </c>
      <c r="L102" s="8">
        <v>150000</v>
      </c>
      <c r="M102" s="8">
        <v>150000</v>
      </c>
      <c r="N102" s="8">
        <v>135251</v>
      </c>
      <c r="O102" s="8">
        <f t="shared" si="14"/>
        <v>-4.9599999911151826E-2</v>
      </c>
    </row>
    <row r="103" spans="1:15" ht="18" customHeight="1">
      <c r="A103" s="5">
        <v>89</v>
      </c>
      <c r="B103" s="5">
        <v>7371</v>
      </c>
      <c r="C103" s="6" t="s">
        <v>380</v>
      </c>
      <c r="D103" s="5">
        <v>12226</v>
      </c>
      <c r="E103" s="7" t="s">
        <v>106</v>
      </c>
      <c r="F103" s="8">
        <v>392528.53</v>
      </c>
      <c r="G103" s="8">
        <v>345.13</v>
      </c>
      <c r="H103" s="8">
        <f t="shared" si="16"/>
        <v>471034.23600000003</v>
      </c>
      <c r="I103" s="8">
        <f t="shared" si="17"/>
        <v>635896.21860000002</v>
      </c>
      <c r="J103" s="8">
        <f t="shared" si="23"/>
        <v>635896.21860000002</v>
      </c>
      <c r="K103" s="8">
        <v>150000</v>
      </c>
      <c r="L103" s="8">
        <v>200000</v>
      </c>
      <c r="M103" s="8">
        <v>150000</v>
      </c>
      <c r="N103" s="8">
        <v>135896</v>
      </c>
      <c r="O103" s="8">
        <f t="shared" si="14"/>
        <v>-0.21860000002197921</v>
      </c>
    </row>
    <row r="104" spans="1:15" ht="18" customHeight="1">
      <c r="A104" s="5">
        <v>90</v>
      </c>
      <c r="B104" s="5">
        <v>5009</v>
      </c>
      <c r="C104" s="6" t="s">
        <v>369</v>
      </c>
      <c r="D104" s="5">
        <v>11073</v>
      </c>
      <c r="E104" s="7" t="s">
        <v>107</v>
      </c>
      <c r="F104" s="8">
        <v>236594.38</v>
      </c>
      <c r="G104" s="8">
        <v>188.49</v>
      </c>
      <c r="H104" s="8">
        <f t="shared" si="16"/>
        <v>283913.25600000005</v>
      </c>
      <c r="I104" s="8">
        <f t="shared" si="17"/>
        <v>383282.89560000005</v>
      </c>
      <c r="J104" s="5">
        <v>420000</v>
      </c>
      <c r="K104" s="5">
        <v>70000</v>
      </c>
      <c r="L104" s="5">
        <v>100000</v>
      </c>
      <c r="M104" s="5">
        <v>200000</v>
      </c>
      <c r="N104" s="5">
        <v>50000</v>
      </c>
      <c r="O104" s="8">
        <f t="shared" si="14"/>
        <v>0</v>
      </c>
    </row>
    <row r="105" spans="1:15" ht="18" customHeight="1">
      <c r="A105" s="10" t="s">
        <v>12</v>
      </c>
      <c r="B105" s="11"/>
      <c r="C105" s="12"/>
      <c r="D105" s="11" t="s">
        <v>12</v>
      </c>
      <c r="E105" s="13" t="s">
        <v>108</v>
      </c>
      <c r="F105" s="14">
        <f>SUM(F97:F104)</f>
        <v>2766479.79</v>
      </c>
      <c r="G105" s="14">
        <v>263.06</v>
      </c>
      <c r="H105" s="14">
        <f t="shared" si="16"/>
        <v>3319775.7479999997</v>
      </c>
      <c r="I105" s="14">
        <f t="shared" si="17"/>
        <v>4481697.2597999992</v>
      </c>
      <c r="J105" s="14">
        <f>SUM(J97:J104)</f>
        <v>4518414.3641999997</v>
      </c>
      <c r="K105" s="14">
        <f t="shared" ref="K105:O105" si="24">SUM(K97:K104)</f>
        <v>1226403</v>
      </c>
      <c r="L105" s="14">
        <f>SUM(L97:L104)</f>
        <v>1090000</v>
      </c>
      <c r="M105" s="14">
        <f t="shared" si="24"/>
        <v>1700000</v>
      </c>
      <c r="N105" s="14">
        <f t="shared" si="24"/>
        <v>502012</v>
      </c>
      <c r="O105" s="14">
        <f t="shared" si="24"/>
        <v>0.63580000016372651</v>
      </c>
    </row>
    <row r="106" spans="1:15" ht="18" customHeight="1">
      <c r="A106" s="5">
        <v>91</v>
      </c>
      <c r="B106" s="5">
        <v>3023</v>
      </c>
      <c r="C106" s="6" t="s">
        <v>381</v>
      </c>
      <c r="D106" s="5">
        <v>12543</v>
      </c>
      <c r="E106" s="7" t="s">
        <v>109</v>
      </c>
      <c r="F106" s="8">
        <v>484580.57999999996</v>
      </c>
      <c r="G106" s="8">
        <v>364.39</v>
      </c>
      <c r="H106" s="8">
        <f t="shared" si="16"/>
        <v>581496.696</v>
      </c>
      <c r="I106" s="8">
        <f t="shared" si="17"/>
        <v>785020.53960000002</v>
      </c>
      <c r="J106" s="8">
        <v>785020.53960000002</v>
      </c>
      <c r="K106" s="8">
        <v>100000</v>
      </c>
      <c r="L106" s="8">
        <v>300000</v>
      </c>
      <c r="M106" s="8">
        <v>250000</v>
      </c>
      <c r="N106" s="8">
        <v>150000</v>
      </c>
      <c r="O106" s="8">
        <f t="shared" si="14"/>
        <v>14979.460399999982</v>
      </c>
    </row>
    <row r="107" spans="1:15" ht="18" customHeight="1">
      <c r="A107" s="5">
        <v>92</v>
      </c>
      <c r="B107" s="5">
        <v>1896</v>
      </c>
      <c r="C107" s="6" t="s">
        <v>382</v>
      </c>
      <c r="D107" s="5">
        <v>14511</v>
      </c>
      <c r="E107" s="7" t="s">
        <v>110</v>
      </c>
      <c r="F107" s="8">
        <v>514687.61</v>
      </c>
      <c r="G107" s="8">
        <v>387.87</v>
      </c>
      <c r="H107" s="8">
        <f t="shared" si="16"/>
        <v>617625.13199999998</v>
      </c>
      <c r="I107" s="8">
        <f t="shared" si="17"/>
        <v>833793.92819999997</v>
      </c>
      <c r="J107" s="8">
        <v>833793.92819999997</v>
      </c>
      <c r="K107" s="8">
        <v>150000</v>
      </c>
      <c r="L107" s="8">
        <v>300000</v>
      </c>
      <c r="M107" s="8">
        <v>280000</v>
      </c>
      <c r="N107" s="8">
        <v>150000</v>
      </c>
      <c r="O107" s="8">
        <f t="shared" si="14"/>
        <v>46206.071800000034</v>
      </c>
    </row>
    <row r="108" spans="1:15" ht="18" customHeight="1">
      <c r="A108" s="5">
        <v>93</v>
      </c>
      <c r="B108" s="5">
        <v>4160</v>
      </c>
      <c r="C108" s="6" t="s">
        <v>383</v>
      </c>
      <c r="D108" s="5">
        <v>11077</v>
      </c>
      <c r="E108" s="7" t="s">
        <v>111</v>
      </c>
      <c r="F108" s="8">
        <v>513180.02</v>
      </c>
      <c r="G108" s="8">
        <v>352.03</v>
      </c>
      <c r="H108" s="8">
        <f t="shared" si="16"/>
        <v>615816.02399999998</v>
      </c>
      <c r="I108" s="8">
        <f t="shared" si="17"/>
        <v>831351.6324</v>
      </c>
      <c r="J108" s="8">
        <v>831351.6324</v>
      </c>
      <c r="K108" s="8">
        <v>250000</v>
      </c>
      <c r="L108" s="8">
        <v>400000</v>
      </c>
      <c r="M108" s="8">
        <v>150000</v>
      </c>
      <c r="N108" s="8">
        <v>50000</v>
      </c>
      <c r="O108" s="8">
        <f t="shared" si="14"/>
        <v>18648.367599999998</v>
      </c>
    </row>
    <row r="109" spans="1:15" ht="18" customHeight="1">
      <c r="A109" s="5">
        <v>94</v>
      </c>
      <c r="B109" s="5">
        <v>963</v>
      </c>
      <c r="C109" s="6" t="s">
        <v>384</v>
      </c>
      <c r="D109" s="5">
        <v>11074</v>
      </c>
      <c r="E109" s="7" t="s">
        <v>112</v>
      </c>
      <c r="F109" s="8">
        <v>388354.09</v>
      </c>
      <c r="G109" s="8">
        <v>227.31</v>
      </c>
      <c r="H109" s="8">
        <f t="shared" si="16"/>
        <v>466024.908</v>
      </c>
      <c r="I109" s="8">
        <f t="shared" si="17"/>
        <v>629133.62580000004</v>
      </c>
      <c r="J109" s="8">
        <v>629133.62580000004</v>
      </c>
      <c r="K109" s="8"/>
      <c r="L109" s="8">
        <v>350000</v>
      </c>
      <c r="M109" s="8"/>
      <c r="N109" s="8">
        <v>300000</v>
      </c>
      <c r="O109" s="8">
        <f t="shared" si="14"/>
        <v>20866.374199999962</v>
      </c>
    </row>
    <row r="110" spans="1:15" ht="18" customHeight="1">
      <c r="A110" s="5">
        <v>95</v>
      </c>
      <c r="B110" s="5">
        <v>1063</v>
      </c>
      <c r="C110" s="6" t="s">
        <v>385</v>
      </c>
      <c r="D110" s="5">
        <v>11099</v>
      </c>
      <c r="E110" s="7" t="s">
        <v>113</v>
      </c>
      <c r="F110" s="8">
        <v>314057.47000000003</v>
      </c>
      <c r="G110" s="8">
        <v>224.46</v>
      </c>
      <c r="H110" s="8">
        <f t="shared" si="16"/>
        <v>376868.96400000004</v>
      </c>
      <c r="I110" s="8">
        <f t="shared" si="17"/>
        <v>508773.10140000004</v>
      </c>
      <c r="J110" s="8">
        <v>508773.10140000004</v>
      </c>
      <c r="K110" s="8"/>
      <c r="L110" s="8">
        <v>250000</v>
      </c>
      <c r="M110" s="8"/>
      <c r="N110" s="8">
        <v>258773</v>
      </c>
      <c r="O110" s="8">
        <f t="shared" si="14"/>
        <v>-0.10140000004321337</v>
      </c>
    </row>
    <row r="111" spans="1:15" ht="18" customHeight="1">
      <c r="A111" s="5">
        <v>96</v>
      </c>
      <c r="B111" s="5">
        <v>6138</v>
      </c>
      <c r="C111" s="6" t="s">
        <v>386</v>
      </c>
      <c r="D111" s="5">
        <v>12542</v>
      </c>
      <c r="E111" s="7" t="s">
        <v>114</v>
      </c>
      <c r="F111" s="8">
        <v>295440.34000000003</v>
      </c>
      <c r="G111" s="8">
        <v>224.74</v>
      </c>
      <c r="H111" s="8">
        <f t="shared" si="16"/>
        <v>354528.40800000005</v>
      </c>
      <c r="I111" s="8">
        <f t="shared" si="17"/>
        <v>478613.35080000007</v>
      </c>
      <c r="J111" s="8">
        <v>478613.35080000007</v>
      </c>
      <c r="K111" s="8"/>
      <c r="L111" s="8">
        <v>200000</v>
      </c>
      <c r="M111" s="8"/>
      <c r="N111" s="8">
        <v>278613</v>
      </c>
      <c r="O111" s="8">
        <f t="shared" si="14"/>
        <v>-0.35080000007292256</v>
      </c>
    </row>
    <row r="112" spans="1:15" ht="18" customHeight="1">
      <c r="A112" s="5">
        <v>97</v>
      </c>
      <c r="B112" s="5">
        <v>1903</v>
      </c>
      <c r="C112" s="6" t="s">
        <v>387</v>
      </c>
      <c r="D112" s="5">
        <v>11075</v>
      </c>
      <c r="E112" s="7" t="s">
        <v>115</v>
      </c>
      <c r="F112" s="8">
        <v>389605.5</v>
      </c>
      <c r="G112" s="8">
        <v>228.65</v>
      </c>
      <c r="H112" s="8">
        <f t="shared" si="16"/>
        <v>467526.60000000003</v>
      </c>
      <c r="I112" s="8">
        <f t="shared" si="17"/>
        <v>631160.91</v>
      </c>
      <c r="J112" s="8">
        <v>631160.91</v>
      </c>
      <c r="K112" s="8">
        <v>60000</v>
      </c>
      <c r="L112" s="8">
        <v>200000</v>
      </c>
      <c r="M112" s="8">
        <v>330000</v>
      </c>
      <c r="N112" s="8">
        <v>42000</v>
      </c>
      <c r="O112" s="8">
        <f t="shared" si="14"/>
        <v>839.0899999999674</v>
      </c>
    </row>
    <row r="113" spans="1:15" ht="18" customHeight="1">
      <c r="A113" s="10" t="s">
        <v>12</v>
      </c>
      <c r="B113" s="11"/>
      <c r="C113" s="12"/>
      <c r="D113" s="11" t="s">
        <v>12</v>
      </c>
      <c r="E113" s="13" t="s">
        <v>116</v>
      </c>
      <c r="F113" s="14">
        <f>SUM(F106:F112)</f>
        <v>2899905.61</v>
      </c>
      <c r="G113" s="14">
        <v>284.87</v>
      </c>
      <c r="H113" s="14">
        <f t="shared" si="16"/>
        <v>3479886.7319999998</v>
      </c>
      <c r="I113" s="14">
        <f t="shared" si="17"/>
        <v>4697847.0881999992</v>
      </c>
      <c r="J113" s="14">
        <f>SUM(J106:J112)</f>
        <v>4697847.0882000001</v>
      </c>
      <c r="K113" s="14">
        <f t="shared" ref="K113:O113" si="25">SUM(K106:K112)</f>
        <v>560000</v>
      </c>
      <c r="L113" s="14">
        <f t="shared" si="25"/>
        <v>2000000</v>
      </c>
      <c r="M113" s="14">
        <f t="shared" si="25"/>
        <v>1010000</v>
      </c>
      <c r="N113" s="14">
        <f t="shared" si="25"/>
        <v>1229386</v>
      </c>
      <c r="O113" s="14">
        <f t="shared" si="25"/>
        <v>101538.91179999983</v>
      </c>
    </row>
    <row r="114" spans="1:15" ht="18" customHeight="1">
      <c r="A114" s="16" t="s">
        <v>12</v>
      </c>
      <c r="B114" s="16"/>
      <c r="C114" s="17"/>
      <c r="D114" s="16" t="s">
        <v>12</v>
      </c>
      <c r="E114" s="18" t="s">
        <v>117</v>
      </c>
      <c r="F114" s="19">
        <f>F113+F105+F96+F87+F78+F69</f>
        <v>17315307.640000001</v>
      </c>
      <c r="G114" s="19">
        <v>273.86</v>
      </c>
      <c r="H114" s="19">
        <f t="shared" si="16"/>
        <v>20778369.167999998</v>
      </c>
      <c r="I114" s="19">
        <f t="shared" si="17"/>
        <v>28050798.376799997</v>
      </c>
      <c r="J114" s="19">
        <f>J113+J105+J96+J87+J78+J69</f>
        <v>28679577.248962179</v>
      </c>
      <c r="K114" s="19">
        <f t="shared" ref="K114:O114" si="26">K113+K105+K96+K87+K78+K69</f>
        <v>3976403</v>
      </c>
      <c r="L114" s="19">
        <f t="shared" si="26"/>
        <v>8636456</v>
      </c>
      <c r="M114" s="19">
        <f t="shared" si="26"/>
        <v>8425700.6818000004</v>
      </c>
      <c r="N114" s="19">
        <f t="shared" si="26"/>
        <v>7761923</v>
      </c>
      <c r="O114" s="19">
        <f t="shared" si="26"/>
        <v>120905.43283782003</v>
      </c>
    </row>
    <row r="115" spans="1:15" ht="18" customHeight="1">
      <c r="A115" s="5">
        <v>98</v>
      </c>
      <c r="B115" s="5">
        <v>2135</v>
      </c>
      <c r="C115" s="6" t="s">
        <v>388</v>
      </c>
      <c r="D115" s="5">
        <v>11139</v>
      </c>
      <c r="E115" s="7" t="s">
        <v>118</v>
      </c>
      <c r="F115" s="8">
        <v>683465.48</v>
      </c>
      <c r="G115" s="8">
        <v>405.69</v>
      </c>
      <c r="H115" s="8">
        <f t="shared" si="16"/>
        <v>820158.57599999988</v>
      </c>
      <c r="I115" s="8">
        <f t="shared" si="17"/>
        <v>1107214.0776</v>
      </c>
      <c r="J115" s="8">
        <f t="shared" ref="J115:J121" si="27">+I115</f>
        <v>1107214.0776</v>
      </c>
      <c r="K115" s="8"/>
      <c r="L115" s="8">
        <v>850000</v>
      </c>
      <c r="M115" s="8"/>
      <c r="N115" s="8">
        <v>260000</v>
      </c>
      <c r="O115" s="8">
        <f t="shared" ref="O115:O174" si="28">(K115+L115+M115+N115)-J115</f>
        <v>2785.9224000000395</v>
      </c>
    </row>
    <row r="116" spans="1:15" ht="18" customHeight="1">
      <c r="A116" s="5">
        <v>99</v>
      </c>
      <c r="B116" s="5">
        <v>7137</v>
      </c>
      <c r="C116" s="6" t="s">
        <v>389</v>
      </c>
      <c r="D116" s="5">
        <v>11135</v>
      </c>
      <c r="E116" s="7" t="s">
        <v>119</v>
      </c>
      <c r="F116" s="8">
        <v>544452.85000000009</v>
      </c>
      <c r="G116" s="8">
        <v>358.19</v>
      </c>
      <c r="H116" s="8">
        <f t="shared" si="16"/>
        <v>653343.42000000016</v>
      </c>
      <c r="I116" s="8">
        <f t="shared" si="17"/>
        <v>882013.6170000002</v>
      </c>
      <c r="J116" s="8">
        <f t="shared" si="27"/>
        <v>882013.6170000002</v>
      </c>
      <c r="K116" s="8">
        <v>50000</v>
      </c>
      <c r="L116" s="8">
        <v>750000</v>
      </c>
      <c r="M116" s="8"/>
      <c r="N116" s="8">
        <v>85000</v>
      </c>
      <c r="O116" s="8">
        <f t="shared" si="28"/>
        <v>2986.3829999997979</v>
      </c>
    </row>
    <row r="117" spans="1:15" ht="18" customHeight="1">
      <c r="A117" s="5">
        <v>100</v>
      </c>
      <c r="B117" s="5">
        <v>2134</v>
      </c>
      <c r="C117" s="6" t="s">
        <v>390</v>
      </c>
      <c r="D117" s="5">
        <v>11138</v>
      </c>
      <c r="E117" s="7" t="s">
        <v>120</v>
      </c>
      <c r="F117" s="8">
        <v>530848</v>
      </c>
      <c r="G117" s="8">
        <v>326.67</v>
      </c>
      <c r="H117" s="8">
        <f t="shared" si="16"/>
        <v>637017.60000000009</v>
      </c>
      <c r="I117" s="8">
        <f t="shared" si="17"/>
        <v>859973.76000000013</v>
      </c>
      <c r="J117" s="8">
        <f t="shared" si="27"/>
        <v>859973.76000000013</v>
      </c>
      <c r="K117" s="8">
        <v>450000</v>
      </c>
      <c r="L117" s="8"/>
      <c r="M117" s="8">
        <v>300000</v>
      </c>
      <c r="N117" s="8">
        <v>110000</v>
      </c>
      <c r="O117" s="8">
        <f t="shared" si="28"/>
        <v>26.239999999874271</v>
      </c>
    </row>
    <row r="118" spans="1:15" ht="18" customHeight="1">
      <c r="A118" s="5">
        <v>101</v>
      </c>
      <c r="B118" s="5">
        <v>3727</v>
      </c>
      <c r="C118" s="6" t="s">
        <v>391</v>
      </c>
      <c r="D118" s="5">
        <v>12344</v>
      </c>
      <c r="E118" s="7" t="s">
        <v>121</v>
      </c>
      <c r="F118" s="8">
        <v>597255.72</v>
      </c>
      <c r="G118" s="8">
        <v>382.12</v>
      </c>
      <c r="H118" s="8">
        <f t="shared" si="16"/>
        <v>716706.86400000006</v>
      </c>
      <c r="I118" s="8">
        <f t="shared" si="17"/>
        <v>967554.26640000008</v>
      </c>
      <c r="J118" s="8">
        <f t="shared" si="27"/>
        <v>967554.26640000008</v>
      </c>
      <c r="K118" s="8"/>
      <c r="L118" s="8">
        <v>850000</v>
      </c>
      <c r="M118" s="8"/>
      <c r="N118" s="8">
        <v>120000</v>
      </c>
      <c r="O118" s="8">
        <f t="shared" si="28"/>
        <v>2445.7335999999195</v>
      </c>
    </row>
    <row r="119" spans="1:15" ht="18" customHeight="1">
      <c r="A119" s="5">
        <v>102</v>
      </c>
      <c r="B119" s="5">
        <v>6603</v>
      </c>
      <c r="C119" s="6" t="s">
        <v>392</v>
      </c>
      <c r="D119" s="5">
        <v>13028</v>
      </c>
      <c r="E119" s="7" t="s">
        <v>122</v>
      </c>
      <c r="F119" s="8">
        <v>546026.87</v>
      </c>
      <c r="G119" s="8">
        <v>398.91</v>
      </c>
      <c r="H119" s="8">
        <f t="shared" si="16"/>
        <v>655232.24399999995</v>
      </c>
      <c r="I119" s="8">
        <f t="shared" si="17"/>
        <v>884563.52939999988</v>
      </c>
      <c r="J119" s="8">
        <f t="shared" si="27"/>
        <v>884563.52939999988</v>
      </c>
      <c r="K119" s="8"/>
      <c r="L119" s="8">
        <v>650000</v>
      </c>
      <c r="M119" s="8"/>
      <c r="N119" s="8">
        <v>235000</v>
      </c>
      <c r="O119" s="8">
        <f t="shared" si="28"/>
        <v>436.47060000011697</v>
      </c>
    </row>
    <row r="120" spans="1:15" ht="18" customHeight="1">
      <c r="A120" s="5">
        <v>103</v>
      </c>
      <c r="B120" s="5">
        <v>5733</v>
      </c>
      <c r="C120" s="6" t="s">
        <v>393</v>
      </c>
      <c r="D120" s="5">
        <v>13127</v>
      </c>
      <c r="E120" s="7" t="s">
        <v>123</v>
      </c>
      <c r="F120" s="8">
        <v>553857.37</v>
      </c>
      <c r="G120" s="8">
        <v>382.51</v>
      </c>
      <c r="H120" s="8">
        <f t="shared" si="16"/>
        <v>664628.84400000004</v>
      </c>
      <c r="I120" s="8">
        <f t="shared" si="17"/>
        <v>897248.93940000003</v>
      </c>
      <c r="J120" s="8">
        <f t="shared" si="27"/>
        <v>897248.93940000003</v>
      </c>
      <c r="K120" s="8">
        <v>400000</v>
      </c>
      <c r="L120" s="8"/>
      <c r="M120" s="8">
        <v>350000</v>
      </c>
      <c r="N120" s="8">
        <v>150000</v>
      </c>
      <c r="O120" s="8">
        <f t="shared" si="28"/>
        <v>2751.060599999968</v>
      </c>
    </row>
    <row r="121" spans="1:15" ht="18" customHeight="1">
      <c r="A121" s="5">
        <v>104</v>
      </c>
      <c r="B121" s="5">
        <v>5919</v>
      </c>
      <c r="C121" s="6" t="s">
        <v>394</v>
      </c>
      <c r="D121" s="5">
        <v>13308</v>
      </c>
      <c r="E121" s="7" t="s">
        <v>124</v>
      </c>
      <c r="F121" s="8">
        <v>545467.6</v>
      </c>
      <c r="G121" s="8">
        <v>323.5</v>
      </c>
      <c r="H121" s="8">
        <f t="shared" si="16"/>
        <v>654561.11999999988</v>
      </c>
      <c r="I121" s="8">
        <f t="shared" si="17"/>
        <v>883657.51199999987</v>
      </c>
      <c r="J121" s="8">
        <f t="shared" si="27"/>
        <v>883657.51199999987</v>
      </c>
      <c r="K121" s="8"/>
      <c r="L121" s="8">
        <v>850000</v>
      </c>
      <c r="M121" s="8"/>
      <c r="N121" s="8">
        <v>35000</v>
      </c>
      <c r="O121" s="8">
        <f t="shared" si="28"/>
        <v>1342.4880000001285</v>
      </c>
    </row>
    <row r="122" spans="1:15" ht="18" customHeight="1">
      <c r="A122" s="10" t="s">
        <v>12</v>
      </c>
      <c r="B122" s="11"/>
      <c r="C122" s="12"/>
      <c r="D122" s="11" t="s">
        <v>12</v>
      </c>
      <c r="E122" s="13" t="s">
        <v>125</v>
      </c>
      <c r="F122" s="14">
        <f>SUM(F115:F121)</f>
        <v>4001373.89</v>
      </c>
      <c r="G122" s="14">
        <v>367.01</v>
      </c>
      <c r="H122" s="14">
        <f t="shared" si="16"/>
        <v>4801648.6680000005</v>
      </c>
      <c r="I122" s="14">
        <f t="shared" si="17"/>
        <v>6482225.7018000009</v>
      </c>
      <c r="J122" s="14">
        <f>SUM(J115:J121)</f>
        <v>6482225.7017999999</v>
      </c>
      <c r="K122" s="14">
        <f t="shared" ref="K122:O122" si="29">SUM(K115:K121)</f>
        <v>900000</v>
      </c>
      <c r="L122" s="14">
        <f t="shared" si="29"/>
        <v>3950000</v>
      </c>
      <c r="M122" s="14">
        <f t="shared" si="29"/>
        <v>650000</v>
      </c>
      <c r="N122" s="14">
        <f t="shared" si="29"/>
        <v>995000</v>
      </c>
      <c r="O122" s="14">
        <f t="shared" si="29"/>
        <v>12774.298199999845</v>
      </c>
    </row>
    <row r="123" spans="1:15" ht="18" customHeight="1">
      <c r="A123" s="5">
        <v>105</v>
      </c>
      <c r="B123" s="5">
        <v>3596</v>
      </c>
      <c r="C123" s="6" t="s">
        <v>395</v>
      </c>
      <c r="D123" s="5">
        <v>11134</v>
      </c>
      <c r="E123" s="7" t="s">
        <v>126</v>
      </c>
      <c r="F123" s="8">
        <v>387221.51</v>
      </c>
      <c r="G123" s="8">
        <v>339.85</v>
      </c>
      <c r="H123" s="8">
        <f t="shared" si="16"/>
        <v>464665.81199999998</v>
      </c>
      <c r="I123" s="8">
        <f t="shared" si="17"/>
        <v>627298.84620000003</v>
      </c>
      <c r="J123" s="8">
        <f t="shared" ref="J123:J126" si="30">+I123</f>
        <v>627298.84620000003</v>
      </c>
      <c r="K123" s="8">
        <v>70000</v>
      </c>
      <c r="L123" s="8">
        <v>400000</v>
      </c>
      <c r="M123" s="8">
        <v>90000</v>
      </c>
      <c r="N123" s="8">
        <v>70000</v>
      </c>
      <c r="O123" s="8">
        <f t="shared" si="28"/>
        <v>2701.1537999999709</v>
      </c>
    </row>
    <row r="124" spans="1:15" ht="18" customHeight="1">
      <c r="A124" s="5">
        <v>106</v>
      </c>
      <c r="B124" s="5">
        <v>5679</v>
      </c>
      <c r="C124" s="6" t="s">
        <v>396</v>
      </c>
      <c r="D124" s="5">
        <v>11136</v>
      </c>
      <c r="E124" s="7" t="s">
        <v>127</v>
      </c>
      <c r="F124" s="8">
        <v>315171.18</v>
      </c>
      <c r="G124" s="8">
        <v>254.28</v>
      </c>
      <c r="H124" s="8">
        <f t="shared" si="16"/>
        <v>378205.41599999997</v>
      </c>
      <c r="I124" s="8">
        <f t="shared" si="17"/>
        <v>510577.31159999996</v>
      </c>
      <c r="J124" s="8">
        <f t="shared" si="30"/>
        <v>510577.31159999996</v>
      </c>
      <c r="K124" s="8">
        <v>0</v>
      </c>
      <c r="L124" s="8">
        <v>420000</v>
      </c>
      <c r="M124" s="8">
        <v>0</v>
      </c>
      <c r="N124" s="8">
        <v>90000</v>
      </c>
      <c r="O124" s="8">
        <f t="shared" si="28"/>
        <v>-577.31159999995725</v>
      </c>
    </row>
    <row r="125" spans="1:15" ht="18" customHeight="1">
      <c r="A125" s="5">
        <v>107</v>
      </c>
      <c r="B125" s="5">
        <v>2256</v>
      </c>
      <c r="C125" s="6" t="s">
        <v>397</v>
      </c>
      <c r="D125" s="5">
        <v>11137</v>
      </c>
      <c r="E125" s="7" t="s">
        <v>128</v>
      </c>
      <c r="F125" s="8">
        <v>416853.26</v>
      </c>
      <c r="G125" s="8">
        <v>310.61</v>
      </c>
      <c r="H125" s="8">
        <f t="shared" si="16"/>
        <v>500223.91200000001</v>
      </c>
      <c r="I125" s="8">
        <f t="shared" si="17"/>
        <v>675302.28119999997</v>
      </c>
      <c r="J125" s="8">
        <f t="shared" si="30"/>
        <v>675302.28119999997</v>
      </c>
      <c r="K125" s="8">
        <v>0</v>
      </c>
      <c r="L125" s="8">
        <v>600000</v>
      </c>
      <c r="M125" s="8">
        <v>0</v>
      </c>
      <c r="N125" s="8">
        <v>80000</v>
      </c>
      <c r="O125" s="8">
        <f t="shared" si="28"/>
        <v>4697.7188000000315</v>
      </c>
    </row>
    <row r="126" spans="1:15" ht="18" customHeight="1">
      <c r="A126" s="5">
        <v>108</v>
      </c>
      <c r="B126" s="5">
        <v>3610</v>
      </c>
      <c r="C126" s="6" t="s">
        <v>398</v>
      </c>
      <c r="D126" s="5">
        <v>12230</v>
      </c>
      <c r="E126" s="7" t="s">
        <v>129</v>
      </c>
      <c r="F126" s="8">
        <v>326512.04000000004</v>
      </c>
      <c r="G126" s="8">
        <v>321.81</v>
      </c>
      <c r="H126" s="8">
        <f t="shared" si="16"/>
        <v>391814.44800000009</v>
      </c>
      <c r="I126" s="8">
        <f t="shared" si="17"/>
        <v>528949.50480000011</v>
      </c>
      <c r="J126" s="8">
        <f t="shared" si="30"/>
        <v>528949.50480000011</v>
      </c>
      <c r="K126" s="8">
        <v>0</v>
      </c>
      <c r="L126" s="8">
        <v>500000</v>
      </c>
      <c r="M126" s="8">
        <v>0</v>
      </c>
      <c r="N126" s="8">
        <v>30000</v>
      </c>
      <c r="O126" s="8">
        <f t="shared" si="28"/>
        <v>1050.4951999998884</v>
      </c>
    </row>
    <row r="127" spans="1:15" ht="18" customHeight="1">
      <c r="A127" s="5">
        <v>109</v>
      </c>
      <c r="B127" s="5">
        <v>5502</v>
      </c>
      <c r="C127" s="6" t="s">
        <v>347</v>
      </c>
      <c r="D127" s="5">
        <v>12602</v>
      </c>
      <c r="E127" s="7" t="s">
        <v>130</v>
      </c>
      <c r="F127" s="8">
        <v>280644.61</v>
      </c>
      <c r="G127" s="8">
        <v>207.53</v>
      </c>
      <c r="H127" s="8">
        <f t="shared" si="16"/>
        <v>336773.53200000001</v>
      </c>
      <c r="I127" s="8">
        <f t="shared" si="17"/>
        <v>454644.26819999999</v>
      </c>
      <c r="J127" s="5">
        <v>485457</v>
      </c>
      <c r="K127" s="5">
        <v>0</v>
      </c>
      <c r="L127" s="5">
        <v>400000</v>
      </c>
      <c r="M127" s="5">
        <v>0</v>
      </c>
      <c r="N127" s="5">
        <v>85000</v>
      </c>
      <c r="O127" s="8">
        <f t="shared" si="28"/>
        <v>-457</v>
      </c>
    </row>
    <row r="128" spans="1:15" ht="18" customHeight="1">
      <c r="A128" s="5">
        <v>110</v>
      </c>
      <c r="B128" s="5">
        <v>7265</v>
      </c>
      <c r="C128" s="6" t="s">
        <v>399</v>
      </c>
      <c r="D128" s="5">
        <v>13176</v>
      </c>
      <c r="E128" s="7" t="s">
        <v>131</v>
      </c>
      <c r="F128" s="8">
        <v>349169.45999999996</v>
      </c>
      <c r="G128" s="8">
        <v>315.52999999999997</v>
      </c>
      <c r="H128" s="8">
        <f t="shared" si="16"/>
        <v>419003.35199999996</v>
      </c>
      <c r="I128" s="8">
        <f t="shared" si="17"/>
        <v>565654.52519999992</v>
      </c>
      <c r="J128" s="8">
        <f t="shared" ref="J128:J130" si="31">+I128</f>
        <v>565654.52519999992</v>
      </c>
      <c r="K128" s="8">
        <v>0</v>
      </c>
      <c r="L128" s="8">
        <v>400000</v>
      </c>
      <c r="M128" s="8">
        <v>0</v>
      </c>
      <c r="N128" s="8">
        <v>170000</v>
      </c>
      <c r="O128" s="8">
        <f t="shared" si="28"/>
        <v>4345.4748000000836</v>
      </c>
    </row>
    <row r="129" spans="1:15" ht="18" customHeight="1">
      <c r="A129" s="5">
        <v>111</v>
      </c>
      <c r="B129" s="5">
        <v>5071</v>
      </c>
      <c r="C129" s="6" t="s">
        <v>400</v>
      </c>
      <c r="D129" s="5">
        <v>12909</v>
      </c>
      <c r="E129" s="7" t="s">
        <v>132</v>
      </c>
      <c r="F129" s="8">
        <v>470185.07999999996</v>
      </c>
      <c r="G129" s="8">
        <v>306.27999999999997</v>
      </c>
      <c r="H129" s="8">
        <f t="shared" si="16"/>
        <v>564222.0959999999</v>
      </c>
      <c r="I129" s="8">
        <f t="shared" si="17"/>
        <v>761699.82959999982</v>
      </c>
      <c r="J129" s="8">
        <f t="shared" si="31"/>
        <v>761699.82959999982</v>
      </c>
      <c r="K129" s="8">
        <v>350000</v>
      </c>
      <c r="L129" s="8">
        <v>0</v>
      </c>
      <c r="M129" s="8">
        <v>415000</v>
      </c>
      <c r="N129" s="8">
        <v>0</v>
      </c>
      <c r="O129" s="8">
        <f t="shared" si="28"/>
        <v>3300.1704000001773</v>
      </c>
    </row>
    <row r="130" spans="1:15" ht="18" customHeight="1">
      <c r="A130" s="5">
        <v>112</v>
      </c>
      <c r="B130" s="5">
        <v>2985</v>
      </c>
      <c r="C130" s="6" t="s">
        <v>401</v>
      </c>
      <c r="D130" s="5">
        <v>14702</v>
      </c>
      <c r="E130" s="7" t="s">
        <v>133</v>
      </c>
      <c r="F130" s="8">
        <v>372427.76</v>
      </c>
      <c r="G130" s="8">
        <v>290.63</v>
      </c>
      <c r="H130" s="8">
        <f t="shared" si="16"/>
        <v>446913.31199999998</v>
      </c>
      <c r="I130" s="8">
        <f t="shared" si="17"/>
        <v>603332.97120000003</v>
      </c>
      <c r="J130" s="8">
        <f t="shared" si="31"/>
        <v>603332.97120000003</v>
      </c>
      <c r="K130" s="8">
        <v>0</v>
      </c>
      <c r="L130" s="8">
        <v>450000</v>
      </c>
      <c r="M130" s="8">
        <v>0</v>
      </c>
      <c r="N130" s="8">
        <v>150000</v>
      </c>
      <c r="O130" s="8">
        <f t="shared" si="28"/>
        <v>-3332.9712000000291</v>
      </c>
    </row>
    <row r="131" spans="1:15" ht="18" customHeight="1">
      <c r="A131" s="10" t="s">
        <v>12</v>
      </c>
      <c r="B131" s="11"/>
      <c r="C131" s="12"/>
      <c r="D131" s="11" t="s">
        <v>12</v>
      </c>
      <c r="E131" s="13" t="s">
        <v>134</v>
      </c>
      <c r="F131" s="14">
        <f>SUM(F123:F130)</f>
        <v>2918184.9000000004</v>
      </c>
      <c r="G131" s="14">
        <v>291.61</v>
      </c>
      <c r="H131" s="14">
        <f t="shared" si="16"/>
        <v>3501821.8800000008</v>
      </c>
      <c r="I131" s="14">
        <f t="shared" si="17"/>
        <v>4727459.5380000006</v>
      </c>
      <c r="J131" s="14">
        <f>SUM(J123:J130)</f>
        <v>4758272.2697999999</v>
      </c>
      <c r="K131" s="14">
        <f t="shared" ref="K131:O131" si="32">SUM(K123:K130)</f>
        <v>420000</v>
      </c>
      <c r="L131" s="14">
        <f t="shared" si="32"/>
        <v>3170000</v>
      </c>
      <c r="M131" s="14">
        <f t="shared" si="32"/>
        <v>505000</v>
      </c>
      <c r="N131" s="14">
        <f t="shared" si="32"/>
        <v>675000</v>
      </c>
      <c r="O131" s="14">
        <f t="shared" si="32"/>
        <v>11727.730200000165</v>
      </c>
    </row>
    <row r="132" spans="1:15" ht="18" customHeight="1">
      <c r="A132" s="5">
        <v>113</v>
      </c>
      <c r="B132" s="5">
        <v>5800</v>
      </c>
      <c r="C132" s="6" t="s">
        <v>402</v>
      </c>
      <c r="D132" s="5">
        <v>13636</v>
      </c>
      <c r="E132" s="7" t="s">
        <v>135</v>
      </c>
      <c r="F132" s="8">
        <v>531188.43000000005</v>
      </c>
      <c r="G132" s="8">
        <v>316.02</v>
      </c>
      <c r="H132" s="8">
        <f t="shared" ref="H132:H195" si="33">(F132/5)*6</f>
        <v>637426.11600000015</v>
      </c>
      <c r="I132" s="8">
        <f t="shared" ref="I132:I195" si="34">(H132*35%)+H132</f>
        <v>860525.2566000002</v>
      </c>
      <c r="J132" s="8">
        <f t="shared" ref="J132:J139" si="35">+I132</f>
        <v>860525.2566000002</v>
      </c>
      <c r="K132" s="8">
        <v>420000</v>
      </c>
      <c r="L132" s="8"/>
      <c r="M132" s="8">
        <v>450000</v>
      </c>
      <c r="N132" s="8"/>
      <c r="O132" s="8">
        <f t="shared" si="28"/>
        <v>9474.7433999998029</v>
      </c>
    </row>
    <row r="133" spans="1:15" ht="18" customHeight="1">
      <c r="A133" s="5">
        <v>114</v>
      </c>
      <c r="B133" s="5">
        <v>6902</v>
      </c>
      <c r="C133" s="6" t="s">
        <v>403</v>
      </c>
      <c r="D133" s="5">
        <v>11132</v>
      </c>
      <c r="E133" s="7" t="s">
        <v>136</v>
      </c>
      <c r="F133" s="8">
        <v>551145.37</v>
      </c>
      <c r="G133" s="8">
        <v>363.11</v>
      </c>
      <c r="H133" s="8">
        <f t="shared" si="33"/>
        <v>661374.4439999999</v>
      </c>
      <c r="I133" s="8">
        <f t="shared" si="34"/>
        <v>892855.49939999986</v>
      </c>
      <c r="J133" s="8">
        <f t="shared" si="35"/>
        <v>892855.49939999986</v>
      </c>
      <c r="K133" s="8">
        <v>450000</v>
      </c>
      <c r="L133" s="8"/>
      <c r="M133" s="8">
        <v>440000</v>
      </c>
      <c r="N133" s="8"/>
      <c r="O133" s="8">
        <f t="shared" si="28"/>
        <v>-2855.4993999998551</v>
      </c>
    </row>
    <row r="134" spans="1:15" ht="18" customHeight="1">
      <c r="A134" s="5">
        <v>115</v>
      </c>
      <c r="B134" s="5">
        <v>6957</v>
      </c>
      <c r="C134" s="6" t="s">
        <v>404</v>
      </c>
      <c r="D134" s="5">
        <v>11130</v>
      </c>
      <c r="E134" s="7" t="s">
        <v>137</v>
      </c>
      <c r="F134" s="8">
        <v>574007.19999999995</v>
      </c>
      <c r="G134" s="8">
        <v>422.35</v>
      </c>
      <c r="H134" s="8">
        <f t="shared" si="33"/>
        <v>688808.6399999999</v>
      </c>
      <c r="I134" s="8">
        <f t="shared" si="34"/>
        <v>929891.66399999987</v>
      </c>
      <c r="J134" s="8">
        <f t="shared" si="35"/>
        <v>929891.66399999987</v>
      </c>
      <c r="K134" s="8">
        <v>460000</v>
      </c>
      <c r="L134" s="8"/>
      <c r="M134" s="8">
        <v>470000</v>
      </c>
      <c r="N134" s="8"/>
      <c r="O134" s="8">
        <f t="shared" si="28"/>
        <v>108.33600000012666</v>
      </c>
    </row>
    <row r="135" spans="1:15" ht="18" customHeight="1">
      <c r="A135" s="5">
        <v>116</v>
      </c>
      <c r="B135" s="5">
        <v>4161</v>
      </c>
      <c r="C135" s="6" t="s">
        <v>405</v>
      </c>
      <c r="D135" s="5">
        <v>12550</v>
      </c>
      <c r="E135" s="7" t="s">
        <v>138</v>
      </c>
      <c r="F135" s="8">
        <v>607132.77</v>
      </c>
      <c r="G135" s="8">
        <v>427.92</v>
      </c>
      <c r="H135" s="8">
        <f t="shared" si="33"/>
        <v>728559.32400000002</v>
      </c>
      <c r="I135" s="8">
        <f t="shared" si="34"/>
        <v>983555.08740000008</v>
      </c>
      <c r="J135" s="8">
        <f t="shared" si="35"/>
        <v>983555.08740000008</v>
      </c>
      <c r="K135" s="8">
        <v>550000</v>
      </c>
      <c r="L135" s="8"/>
      <c r="M135" s="8">
        <v>430000</v>
      </c>
      <c r="N135" s="8"/>
      <c r="O135" s="8">
        <f t="shared" si="28"/>
        <v>-3555.0874000000767</v>
      </c>
    </row>
    <row r="136" spans="1:15" ht="18" customHeight="1">
      <c r="A136" s="5">
        <v>117</v>
      </c>
      <c r="B136" s="5">
        <v>6135</v>
      </c>
      <c r="C136" s="6" t="s">
        <v>406</v>
      </c>
      <c r="D136" s="5">
        <v>13027</v>
      </c>
      <c r="E136" s="7" t="s">
        <v>139</v>
      </c>
      <c r="F136" s="8">
        <v>544439.28</v>
      </c>
      <c r="G136" s="8">
        <v>358.57</v>
      </c>
      <c r="H136" s="8">
        <f t="shared" si="33"/>
        <v>653327.13599999994</v>
      </c>
      <c r="I136" s="8">
        <f t="shared" si="34"/>
        <v>881991.63359999994</v>
      </c>
      <c r="J136" s="8">
        <f t="shared" si="35"/>
        <v>881991.63359999994</v>
      </c>
      <c r="K136" s="8">
        <v>460000</v>
      </c>
      <c r="L136" s="8"/>
      <c r="M136" s="8">
        <v>420000</v>
      </c>
      <c r="N136" s="8"/>
      <c r="O136" s="8">
        <f t="shared" si="28"/>
        <v>-1991.6335999999428</v>
      </c>
    </row>
    <row r="137" spans="1:15" ht="18" customHeight="1">
      <c r="A137" s="5">
        <v>118</v>
      </c>
      <c r="B137" s="5">
        <v>2883</v>
      </c>
      <c r="C137" s="6" t="s">
        <v>407</v>
      </c>
      <c r="D137" s="5">
        <v>11133</v>
      </c>
      <c r="E137" s="7" t="s">
        <v>140</v>
      </c>
      <c r="F137" s="8">
        <v>451398.86</v>
      </c>
      <c r="G137" s="8">
        <v>261.37</v>
      </c>
      <c r="H137" s="8">
        <f t="shared" si="33"/>
        <v>541678.63199999998</v>
      </c>
      <c r="I137" s="8">
        <f t="shared" si="34"/>
        <v>731266.15319999994</v>
      </c>
      <c r="J137" s="8">
        <f t="shared" si="35"/>
        <v>731266.15319999994</v>
      </c>
      <c r="K137" s="8">
        <v>380000</v>
      </c>
      <c r="L137" s="8"/>
      <c r="M137" s="8">
        <v>350000</v>
      </c>
      <c r="N137" s="8"/>
      <c r="O137" s="8">
        <f t="shared" si="28"/>
        <v>-1266.1531999999424</v>
      </c>
    </row>
    <row r="138" spans="1:15" ht="18" customHeight="1">
      <c r="A138" s="5">
        <v>119</v>
      </c>
      <c r="B138" s="5">
        <v>3609</v>
      </c>
      <c r="C138" s="6" t="s">
        <v>408</v>
      </c>
      <c r="D138" s="5">
        <v>12229</v>
      </c>
      <c r="E138" s="7" t="s">
        <v>141</v>
      </c>
      <c r="F138" s="8">
        <v>438530.70999999996</v>
      </c>
      <c r="G138" s="8">
        <v>220.21</v>
      </c>
      <c r="H138" s="8">
        <f t="shared" si="33"/>
        <v>526236.85199999996</v>
      </c>
      <c r="I138" s="8">
        <f t="shared" si="34"/>
        <v>710419.75019999989</v>
      </c>
      <c r="J138" s="8">
        <f t="shared" si="35"/>
        <v>710419.75019999989</v>
      </c>
      <c r="K138" s="8">
        <v>340000</v>
      </c>
      <c r="L138" s="8"/>
      <c r="M138" s="8">
        <v>370000</v>
      </c>
      <c r="N138" s="8"/>
      <c r="O138" s="8">
        <f t="shared" si="28"/>
        <v>-419.75019999989308</v>
      </c>
    </row>
    <row r="139" spans="1:15" ht="18" customHeight="1">
      <c r="A139" s="5">
        <v>120</v>
      </c>
      <c r="B139" s="5">
        <v>7695</v>
      </c>
      <c r="C139" s="6" t="s">
        <v>409</v>
      </c>
      <c r="D139" s="5">
        <v>14547</v>
      </c>
      <c r="E139" s="7" t="s">
        <v>142</v>
      </c>
      <c r="F139" s="8">
        <v>450167.31999999995</v>
      </c>
      <c r="G139" s="8">
        <v>364.02</v>
      </c>
      <c r="H139" s="8">
        <f t="shared" si="33"/>
        <v>540200.78399999999</v>
      </c>
      <c r="I139" s="8">
        <f t="shared" si="34"/>
        <v>729271.05839999998</v>
      </c>
      <c r="J139" s="8">
        <f t="shared" si="35"/>
        <v>729271.05839999998</v>
      </c>
      <c r="K139" s="8">
        <v>370000</v>
      </c>
      <c r="L139" s="8"/>
      <c r="M139" s="8">
        <v>360000</v>
      </c>
      <c r="N139" s="8"/>
      <c r="O139" s="8">
        <f t="shared" si="28"/>
        <v>728.94160000002012</v>
      </c>
    </row>
    <row r="140" spans="1:15" ht="18" customHeight="1">
      <c r="A140" s="10" t="s">
        <v>12</v>
      </c>
      <c r="B140" s="11"/>
      <c r="C140" s="12"/>
      <c r="D140" s="11" t="s">
        <v>12</v>
      </c>
      <c r="E140" s="13" t="s">
        <v>143</v>
      </c>
      <c r="F140" s="14">
        <f>SUM(F132:F139)</f>
        <v>4148009.9399999995</v>
      </c>
      <c r="G140" s="14">
        <v>333.12</v>
      </c>
      <c r="H140" s="14">
        <f t="shared" si="33"/>
        <v>4977611.9279999994</v>
      </c>
      <c r="I140" s="14">
        <f t="shared" si="34"/>
        <v>6719776.1027999986</v>
      </c>
      <c r="J140" s="14">
        <f>SUM(J132:J139)</f>
        <v>6719776.1027999986</v>
      </c>
      <c r="K140" s="14">
        <f t="shared" ref="K140:O140" si="36">SUM(K132:K139)</f>
        <v>3430000</v>
      </c>
      <c r="L140" s="14">
        <f t="shared" si="36"/>
        <v>0</v>
      </c>
      <c r="M140" s="14">
        <f t="shared" si="36"/>
        <v>3290000</v>
      </c>
      <c r="N140" s="14">
        <f t="shared" si="36"/>
        <v>0</v>
      </c>
      <c r="O140" s="14">
        <f t="shared" si="36"/>
        <v>223.89720000023954</v>
      </c>
    </row>
    <row r="141" spans="1:15" ht="18" customHeight="1">
      <c r="A141" s="5">
        <v>121</v>
      </c>
      <c r="B141" s="5">
        <v>1853</v>
      </c>
      <c r="C141" s="6" t="s">
        <v>410</v>
      </c>
      <c r="D141" s="5">
        <v>11062</v>
      </c>
      <c r="E141" s="7" t="s">
        <v>144</v>
      </c>
      <c r="F141" s="8">
        <v>376161.45</v>
      </c>
      <c r="G141" s="8">
        <v>241.71</v>
      </c>
      <c r="H141" s="8">
        <f t="shared" si="33"/>
        <v>451393.74000000005</v>
      </c>
      <c r="I141" s="8">
        <f t="shared" si="34"/>
        <v>609381.54900000012</v>
      </c>
      <c r="J141" s="8">
        <f t="shared" ref="J141:J142" si="37">+I141</f>
        <v>609381.54900000012</v>
      </c>
      <c r="K141" s="8">
        <v>280000</v>
      </c>
      <c r="L141" s="8"/>
      <c r="M141" s="8">
        <v>330000</v>
      </c>
      <c r="N141" s="8"/>
      <c r="O141" s="8">
        <f t="shared" si="28"/>
        <v>618.45099999988452</v>
      </c>
    </row>
    <row r="142" spans="1:15" ht="18" customHeight="1">
      <c r="A142" s="5">
        <v>122</v>
      </c>
      <c r="B142" s="5">
        <v>1408</v>
      </c>
      <c r="C142" s="6" t="s">
        <v>411</v>
      </c>
      <c r="D142" s="5">
        <v>11063</v>
      </c>
      <c r="E142" s="7" t="s">
        <v>145</v>
      </c>
      <c r="F142" s="8">
        <v>408826.39</v>
      </c>
      <c r="G142" s="8">
        <v>265.91000000000003</v>
      </c>
      <c r="H142" s="8">
        <f t="shared" si="33"/>
        <v>490591.66800000006</v>
      </c>
      <c r="I142" s="8">
        <f t="shared" si="34"/>
        <v>662298.75180000009</v>
      </c>
      <c r="J142" s="8">
        <f t="shared" si="37"/>
        <v>662298.75180000009</v>
      </c>
      <c r="K142" s="8"/>
      <c r="L142" s="8">
        <v>315000</v>
      </c>
      <c r="M142" s="8"/>
      <c r="N142" s="8">
        <v>350000</v>
      </c>
      <c r="O142" s="8">
        <f t="shared" si="28"/>
        <v>2701.2481999999145</v>
      </c>
    </row>
    <row r="143" spans="1:15" ht="18" customHeight="1">
      <c r="A143" s="5">
        <v>123</v>
      </c>
      <c r="B143" s="5">
        <v>3605</v>
      </c>
      <c r="C143" s="6" t="s">
        <v>412</v>
      </c>
      <c r="D143" s="5">
        <v>12681</v>
      </c>
      <c r="E143" s="7" t="s">
        <v>146</v>
      </c>
      <c r="F143" s="8">
        <v>277088.94</v>
      </c>
      <c r="G143" s="8">
        <v>189.94</v>
      </c>
      <c r="H143" s="8">
        <f t="shared" si="33"/>
        <v>332506.728</v>
      </c>
      <c r="I143" s="8">
        <f t="shared" si="34"/>
        <v>448884.08279999997</v>
      </c>
      <c r="J143" s="5">
        <v>519592</v>
      </c>
      <c r="K143" s="5">
        <v>300000</v>
      </c>
      <c r="L143" s="5"/>
      <c r="M143" s="5">
        <v>220000</v>
      </c>
      <c r="N143" s="5"/>
      <c r="O143" s="8">
        <f t="shared" si="28"/>
        <v>408</v>
      </c>
    </row>
    <row r="144" spans="1:15" ht="18" customHeight="1">
      <c r="A144" s="5">
        <v>124</v>
      </c>
      <c r="B144" s="5">
        <v>6817</v>
      </c>
      <c r="C144" s="6" t="s">
        <v>413</v>
      </c>
      <c r="D144" s="5">
        <v>11131</v>
      </c>
      <c r="E144" s="7" t="s">
        <v>147</v>
      </c>
      <c r="F144" s="8">
        <v>398317.94000000006</v>
      </c>
      <c r="G144" s="8">
        <v>285.77999999999997</v>
      </c>
      <c r="H144" s="8">
        <f t="shared" si="33"/>
        <v>477981.52800000011</v>
      </c>
      <c r="I144" s="8">
        <f t="shared" si="34"/>
        <v>645275.06280000019</v>
      </c>
      <c r="J144" s="8">
        <f t="shared" ref="J144:J148" si="38">+I144</f>
        <v>645275.06280000019</v>
      </c>
      <c r="K144" s="8">
        <v>400000</v>
      </c>
      <c r="L144" s="8"/>
      <c r="M144" s="8">
        <v>246000</v>
      </c>
      <c r="N144" s="8"/>
      <c r="O144" s="8">
        <f t="shared" si="28"/>
        <v>724.93719999981113</v>
      </c>
    </row>
    <row r="145" spans="1:15" ht="18" customHeight="1">
      <c r="A145" s="5">
        <v>125</v>
      </c>
      <c r="B145" s="5">
        <v>3082</v>
      </c>
      <c r="C145" s="6" t="s">
        <v>414</v>
      </c>
      <c r="D145" s="5">
        <v>11128</v>
      </c>
      <c r="E145" s="7" t="s">
        <v>148</v>
      </c>
      <c r="F145" s="8">
        <v>385758.29</v>
      </c>
      <c r="G145" s="8">
        <v>246.1</v>
      </c>
      <c r="H145" s="8">
        <f t="shared" si="33"/>
        <v>462909.94799999997</v>
      </c>
      <c r="I145" s="8">
        <f t="shared" si="34"/>
        <v>624928.42979999993</v>
      </c>
      <c r="J145" s="8">
        <f t="shared" si="38"/>
        <v>624928.42979999993</v>
      </c>
      <c r="K145" s="8">
        <v>400000</v>
      </c>
      <c r="L145" s="8"/>
      <c r="M145" s="8">
        <v>225000</v>
      </c>
      <c r="N145" s="8"/>
      <c r="O145" s="8">
        <f t="shared" si="28"/>
        <v>71.570200000074692</v>
      </c>
    </row>
    <row r="146" spans="1:15" ht="18" customHeight="1">
      <c r="A146" s="5">
        <v>126</v>
      </c>
      <c r="B146" s="5">
        <v>1393</v>
      </c>
      <c r="C146" s="6" t="s">
        <v>415</v>
      </c>
      <c r="D146" s="5">
        <v>11129</v>
      </c>
      <c r="E146" s="7" t="s">
        <v>149</v>
      </c>
      <c r="F146" s="8">
        <v>521261.42000000004</v>
      </c>
      <c r="G146" s="8">
        <v>345.58</v>
      </c>
      <c r="H146" s="8">
        <f t="shared" si="33"/>
        <v>625513.70400000014</v>
      </c>
      <c r="I146" s="8">
        <f t="shared" si="34"/>
        <v>844443.50040000025</v>
      </c>
      <c r="J146" s="8">
        <f t="shared" si="38"/>
        <v>844443.50040000025</v>
      </c>
      <c r="K146" s="8">
        <v>400000</v>
      </c>
      <c r="L146" s="8"/>
      <c r="M146" s="8">
        <v>445000</v>
      </c>
      <c r="N146" s="8"/>
      <c r="O146" s="8">
        <f t="shared" si="28"/>
        <v>556.49959999974817</v>
      </c>
    </row>
    <row r="147" spans="1:15" ht="18" customHeight="1">
      <c r="A147" s="5">
        <v>127</v>
      </c>
      <c r="B147" s="5">
        <v>690</v>
      </c>
      <c r="C147" s="6" t="s">
        <v>416</v>
      </c>
      <c r="D147" s="5">
        <v>11064</v>
      </c>
      <c r="E147" s="7" t="s">
        <v>150</v>
      </c>
      <c r="F147" s="8">
        <v>382720.6</v>
      </c>
      <c r="G147" s="8">
        <v>276.07</v>
      </c>
      <c r="H147" s="8">
        <f t="shared" si="33"/>
        <v>459264.72</v>
      </c>
      <c r="I147" s="8">
        <f t="shared" si="34"/>
        <v>620007.37199999997</v>
      </c>
      <c r="J147" s="8">
        <f t="shared" si="38"/>
        <v>620007.37199999997</v>
      </c>
      <c r="K147" s="8">
        <v>150000</v>
      </c>
      <c r="L147" s="8">
        <v>200000</v>
      </c>
      <c r="M147" s="8">
        <v>150000</v>
      </c>
      <c r="N147" s="8">
        <v>121000</v>
      </c>
      <c r="O147" s="8">
        <f t="shared" si="28"/>
        <v>992.62800000002608</v>
      </c>
    </row>
    <row r="148" spans="1:15" ht="18" customHeight="1">
      <c r="A148" s="5">
        <v>128</v>
      </c>
      <c r="B148" s="5">
        <v>7565</v>
      </c>
      <c r="C148" s="6" t="s">
        <v>417</v>
      </c>
      <c r="D148" s="5">
        <v>14536</v>
      </c>
      <c r="E148" s="7" t="s">
        <v>151</v>
      </c>
      <c r="F148" s="8">
        <v>356624.88</v>
      </c>
      <c r="G148" s="8">
        <v>271.45</v>
      </c>
      <c r="H148" s="8">
        <f t="shared" si="33"/>
        <v>427949.85599999997</v>
      </c>
      <c r="I148" s="8">
        <f t="shared" si="34"/>
        <v>577732.30559999996</v>
      </c>
      <c r="J148" s="8">
        <f t="shared" si="38"/>
        <v>577732.30559999996</v>
      </c>
      <c r="K148" s="8">
        <v>120000</v>
      </c>
      <c r="L148" s="8">
        <v>200000</v>
      </c>
      <c r="M148" s="8">
        <v>150000</v>
      </c>
      <c r="N148" s="8">
        <v>108000</v>
      </c>
      <c r="O148" s="8">
        <f t="shared" si="28"/>
        <v>267.69440000003669</v>
      </c>
    </row>
    <row r="149" spans="1:15" ht="18" customHeight="1">
      <c r="A149" s="10" t="s">
        <v>12</v>
      </c>
      <c r="B149" s="11"/>
      <c r="C149" s="12"/>
      <c r="D149" s="11" t="s">
        <v>12</v>
      </c>
      <c r="E149" s="13" t="s">
        <v>152</v>
      </c>
      <c r="F149" s="14">
        <f>SUM(F141:F148)</f>
        <v>3106759.91</v>
      </c>
      <c r="G149" s="14">
        <v>265.49</v>
      </c>
      <c r="H149" s="14">
        <f t="shared" si="33"/>
        <v>3728111.8920000005</v>
      </c>
      <c r="I149" s="14">
        <f t="shared" si="34"/>
        <v>5032951.0542000011</v>
      </c>
      <c r="J149" s="14">
        <f>SUM(J141:J148)</f>
        <v>5103658.9714000011</v>
      </c>
      <c r="K149" s="14">
        <f t="shared" ref="K149:O149" si="39">SUM(K141:K148)</f>
        <v>2050000</v>
      </c>
      <c r="L149" s="14">
        <f t="shared" si="39"/>
        <v>715000</v>
      </c>
      <c r="M149" s="14">
        <f t="shared" si="39"/>
        <v>1766000</v>
      </c>
      <c r="N149" s="14">
        <f t="shared" si="39"/>
        <v>579000</v>
      </c>
      <c r="O149" s="14">
        <f t="shared" si="39"/>
        <v>6341.0285999994958</v>
      </c>
    </row>
    <row r="150" spans="1:15" ht="18" customHeight="1">
      <c r="A150" s="5">
        <v>129</v>
      </c>
      <c r="B150" s="5">
        <v>5455</v>
      </c>
      <c r="C150" s="6" t="s">
        <v>418</v>
      </c>
      <c r="D150" s="5">
        <v>12603</v>
      </c>
      <c r="E150" s="7" t="s">
        <v>153</v>
      </c>
      <c r="F150" s="8">
        <v>250934.62999999998</v>
      </c>
      <c r="G150" s="8">
        <v>214.94</v>
      </c>
      <c r="H150" s="8">
        <f t="shared" si="33"/>
        <v>301121.55599999998</v>
      </c>
      <c r="I150" s="8">
        <f t="shared" si="34"/>
        <v>406514.10060000001</v>
      </c>
      <c r="J150" s="8">
        <v>406514.10060000001</v>
      </c>
      <c r="K150" s="5">
        <v>60000</v>
      </c>
      <c r="L150" s="5">
        <v>90000</v>
      </c>
      <c r="M150" s="5">
        <v>200000</v>
      </c>
      <c r="N150" s="5">
        <v>50000</v>
      </c>
      <c r="O150" s="8">
        <f t="shared" si="28"/>
        <v>-6514.1006000000052</v>
      </c>
    </row>
    <row r="151" spans="1:15" ht="18" customHeight="1">
      <c r="A151" s="5">
        <v>130</v>
      </c>
      <c r="B151" s="5">
        <v>1295</v>
      </c>
      <c r="C151" s="6" t="s">
        <v>419</v>
      </c>
      <c r="D151" s="5">
        <v>11118</v>
      </c>
      <c r="E151" s="7" t="s">
        <v>154</v>
      </c>
      <c r="F151" s="8">
        <v>152153.02000000002</v>
      </c>
      <c r="G151" s="8">
        <v>126.11</v>
      </c>
      <c r="H151" s="8">
        <f t="shared" si="33"/>
        <v>182583.62400000001</v>
      </c>
      <c r="I151" s="8">
        <f t="shared" si="34"/>
        <v>246487.89240000001</v>
      </c>
      <c r="J151" s="8">
        <v>429300</v>
      </c>
      <c r="K151" s="5">
        <v>30000</v>
      </c>
      <c r="L151" s="5">
        <v>200000</v>
      </c>
      <c r="M151" s="5">
        <v>100000</v>
      </c>
      <c r="N151" s="5">
        <v>100000</v>
      </c>
      <c r="O151" s="8">
        <f t="shared" si="28"/>
        <v>700</v>
      </c>
    </row>
    <row r="152" spans="1:15" ht="18" customHeight="1">
      <c r="A152" s="5">
        <v>131</v>
      </c>
      <c r="B152" s="5">
        <v>5012</v>
      </c>
      <c r="C152" s="6" t="s">
        <v>420</v>
      </c>
      <c r="D152" s="5">
        <v>11108</v>
      </c>
      <c r="E152" s="7" t="s">
        <v>155</v>
      </c>
      <c r="F152" s="8">
        <v>354337.72000000003</v>
      </c>
      <c r="G152" s="8">
        <v>235.34</v>
      </c>
      <c r="H152" s="8">
        <f t="shared" si="33"/>
        <v>425205.26400000008</v>
      </c>
      <c r="I152" s="8">
        <f t="shared" si="34"/>
        <v>574027.10640000016</v>
      </c>
      <c r="J152" s="8">
        <f t="shared" ref="J152:J154" si="40">+I152</f>
        <v>574027.10640000016</v>
      </c>
      <c r="K152" s="8">
        <v>30000</v>
      </c>
      <c r="L152" s="8">
        <v>35000</v>
      </c>
      <c r="M152" s="8">
        <v>480000</v>
      </c>
      <c r="N152" s="8">
        <v>30000</v>
      </c>
      <c r="O152" s="8">
        <f t="shared" si="28"/>
        <v>972.89359999983571</v>
      </c>
    </row>
    <row r="153" spans="1:15" ht="18" customHeight="1">
      <c r="A153" s="5">
        <v>132</v>
      </c>
      <c r="B153" s="5">
        <v>1518</v>
      </c>
      <c r="C153" s="6" t="s">
        <v>421</v>
      </c>
      <c r="D153" s="5">
        <v>11109</v>
      </c>
      <c r="E153" s="7" t="s">
        <v>156</v>
      </c>
      <c r="F153" s="8">
        <v>450804.38</v>
      </c>
      <c r="G153" s="8">
        <v>293.11</v>
      </c>
      <c r="H153" s="8">
        <f t="shared" si="33"/>
        <v>540965.25600000005</v>
      </c>
      <c r="I153" s="8">
        <f t="shared" si="34"/>
        <v>730303.09560000012</v>
      </c>
      <c r="J153" s="8">
        <f t="shared" si="40"/>
        <v>730303.09560000012</v>
      </c>
      <c r="K153" s="8">
        <v>11000</v>
      </c>
      <c r="L153" s="8">
        <v>20000</v>
      </c>
      <c r="M153" s="8">
        <v>600000</v>
      </c>
      <c r="N153" s="8">
        <v>100000</v>
      </c>
      <c r="O153" s="8">
        <f t="shared" si="28"/>
        <v>696.90439999988303</v>
      </c>
    </row>
    <row r="154" spans="1:15" ht="18" customHeight="1">
      <c r="A154" s="5">
        <v>133</v>
      </c>
      <c r="B154" s="5">
        <v>1696</v>
      </c>
      <c r="C154" s="6" t="s">
        <v>422</v>
      </c>
      <c r="D154" s="5">
        <v>11114</v>
      </c>
      <c r="E154" s="7" t="s">
        <v>157</v>
      </c>
      <c r="F154" s="8">
        <v>319758.19</v>
      </c>
      <c r="G154" s="8">
        <v>272.13</v>
      </c>
      <c r="H154" s="8">
        <f t="shared" si="33"/>
        <v>383709.82799999998</v>
      </c>
      <c r="I154" s="8">
        <f t="shared" si="34"/>
        <v>518008.26779999997</v>
      </c>
      <c r="J154" s="8">
        <f t="shared" si="40"/>
        <v>518008.26779999997</v>
      </c>
      <c r="K154" s="8">
        <v>20000</v>
      </c>
      <c r="L154" s="8">
        <v>50000</v>
      </c>
      <c r="M154" s="8">
        <v>400000</v>
      </c>
      <c r="N154" s="8">
        <v>50000</v>
      </c>
      <c r="O154" s="8">
        <f t="shared" si="28"/>
        <v>1991.7322000000277</v>
      </c>
    </row>
    <row r="155" spans="1:15" ht="18" customHeight="1">
      <c r="A155" s="5">
        <v>134</v>
      </c>
      <c r="B155" s="5">
        <v>7573</v>
      </c>
      <c r="C155" s="6" t="s">
        <v>423</v>
      </c>
      <c r="D155" s="5">
        <v>14534</v>
      </c>
      <c r="E155" s="7" t="s">
        <v>158</v>
      </c>
      <c r="F155" s="8">
        <v>230701.80000000002</v>
      </c>
      <c r="G155" s="8">
        <v>187.03</v>
      </c>
      <c r="H155" s="8">
        <f t="shared" si="33"/>
        <v>276842.16000000003</v>
      </c>
      <c r="I155" s="8">
        <f t="shared" si="34"/>
        <v>373736.91600000003</v>
      </c>
      <c r="J155" s="8">
        <v>430878.96539999987</v>
      </c>
      <c r="K155" s="5">
        <v>60000</v>
      </c>
      <c r="L155" s="5">
        <v>100000</v>
      </c>
      <c r="M155" s="5">
        <v>220000</v>
      </c>
      <c r="N155" s="5">
        <v>50000</v>
      </c>
      <c r="O155" s="8">
        <f t="shared" si="28"/>
        <v>-878.96539999986999</v>
      </c>
    </row>
    <row r="156" spans="1:15" ht="18" customHeight="1">
      <c r="A156" s="5">
        <v>135</v>
      </c>
      <c r="B156" s="5">
        <v>6662</v>
      </c>
      <c r="C156" s="6" t="s">
        <v>424</v>
      </c>
      <c r="D156" s="5">
        <v>11119</v>
      </c>
      <c r="E156" s="7" t="s">
        <v>159</v>
      </c>
      <c r="F156" s="8">
        <v>365414</v>
      </c>
      <c r="G156" s="8">
        <v>322.17</v>
      </c>
      <c r="H156" s="8">
        <f t="shared" si="33"/>
        <v>438496.80000000005</v>
      </c>
      <c r="I156" s="8">
        <f t="shared" si="34"/>
        <v>591970.68000000005</v>
      </c>
      <c r="J156" s="8">
        <f>+I156</f>
        <v>591970.68000000005</v>
      </c>
      <c r="K156" s="8">
        <v>30000</v>
      </c>
      <c r="L156" s="8">
        <v>55000</v>
      </c>
      <c r="M156" s="8">
        <v>450000</v>
      </c>
      <c r="N156" s="8">
        <v>57000</v>
      </c>
      <c r="O156" s="8">
        <f t="shared" si="28"/>
        <v>29.319999999948777</v>
      </c>
    </row>
    <row r="157" spans="1:15" ht="18" customHeight="1">
      <c r="A157" s="10" t="s">
        <v>12</v>
      </c>
      <c r="B157" s="11"/>
      <c r="C157" s="12"/>
      <c r="D157" s="11" t="s">
        <v>12</v>
      </c>
      <c r="E157" s="13" t="s">
        <v>160</v>
      </c>
      <c r="F157" s="14">
        <f>SUM(F150:F156)</f>
        <v>2124103.7400000002</v>
      </c>
      <c r="G157" s="14">
        <v>237.03</v>
      </c>
      <c r="H157" s="14">
        <f t="shared" si="33"/>
        <v>2548924.4879999999</v>
      </c>
      <c r="I157" s="14">
        <f t="shared" si="34"/>
        <v>3441048.0587999998</v>
      </c>
      <c r="J157" s="14">
        <f>SUM(J150:J156)</f>
        <v>3681002.2157999999</v>
      </c>
      <c r="K157" s="14">
        <f t="shared" ref="K157:O157" si="41">SUM(K150:K156)</f>
        <v>241000</v>
      </c>
      <c r="L157" s="14">
        <f t="shared" si="41"/>
        <v>550000</v>
      </c>
      <c r="M157" s="14">
        <f t="shared" si="41"/>
        <v>2450000</v>
      </c>
      <c r="N157" s="14">
        <f t="shared" si="41"/>
        <v>437000</v>
      </c>
      <c r="O157" s="14">
        <f t="shared" si="41"/>
        <v>-3002.21580000018</v>
      </c>
    </row>
    <row r="158" spans="1:15" ht="18" customHeight="1">
      <c r="A158" s="5">
        <v>136</v>
      </c>
      <c r="B158" s="5">
        <v>8746</v>
      </c>
      <c r="C158" s="6" t="s">
        <v>425</v>
      </c>
      <c r="D158" s="5">
        <v>13613</v>
      </c>
      <c r="E158" s="7" t="s">
        <v>161</v>
      </c>
      <c r="F158" s="8">
        <v>378103.42000000004</v>
      </c>
      <c r="G158" s="8">
        <v>273.36</v>
      </c>
      <c r="H158" s="8">
        <f t="shared" si="33"/>
        <v>453724.10400000005</v>
      </c>
      <c r="I158" s="8">
        <f t="shared" si="34"/>
        <v>612527.54040000006</v>
      </c>
      <c r="J158" s="8">
        <f t="shared" ref="J158:J165" si="42">+I158</f>
        <v>612527.54040000006</v>
      </c>
      <c r="K158" s="8">
        <v>35000</v>
      </c>
      <c r="L158" s="8">
        <v>90000</v>
      </c>
      <c r="M158" s="8">
        <v>400000</v>
      </c>
      <c r="N158" s="8">
        <v>90000</v>
      </c>
      <c r="O158" s="8">
        <f t="shared" si="28"/>
        <v>2472.4595999999437</v>
      </c>
    </row>
    <row r="159" spans="1:15" ht="18" customHeight="1">
      <c r="A159" s="5">
        <v>137</v>
      </c>
      <c r="B159" s="5">
        <v>6659</v>
      </c>
      <c r="C159" s="6" t="s">
        <v>426</v>
      </c>
      <c r="D159" s="5">
        <v>11115</v>
      </c>
      <c r="E159" s="7" t="s">
        <v>162</v>
      </c>
      <c r="F159" s="8">
        <v>969765.76</v>
      </c>
      <c r="G159" s="8">
        <v>667.81</v>
      </c>
      <c r="H159" s="8">
        <f t="shared" si="33"/>
        <v>1163718.912</v>
      </c>
      <c r="I159" s="8">
        <f t="shared" si="34"/>
        <v>1571020.5312000001</v>
      </c>
      <c r="J159" s="8">
        <f t="shared" si="42"/>
        <v>1571020.5312000001</v>
      </c>
      <c r="K159" s="8">
        <v>10000</v>
      </c>
      <c r="L159" s="8">
        <v>20000</v>
      </c>
      <c r="M159" s="8">
        <v>242000</v>
      </c>
      <c r="N159" s="8">
        <v>1300000</v>
      </c>
      <c r="O159" s="8">
        <f t="shared" si="28"/>
        <v>979.46879999991506</v>
      </c>
    </row>
    <row r="160" spans="1:15" ht="18" customHeight="1">
      <c r="A160" s="5">
        <v>138</v>
      </c>
      <c r="B160" s="5">
        <v>3428</v>
      </c>
      <c r="C160" s="6" t="s">
        <v>427</v>
      </c>
      <c r="D160" s="5">
        <v>11120</v>
      </c>
      <c r="E160" s="7" t="s">
        <v>163</v>
      </c>
      <c r="F160" s="8">
        <v>369896.51</v>
      </c>
      <c r="G160" s="8">
        <v>255.08</v>
      </c>
      <c r="H160" s="8">
        <f t="shared" si="33"/>
        <v>443875.81199999998</v>
      </c>
      <c r="I160" s="8">
        <f t="shared" si="34"/>
        <v>599232.34620000003</v>
      </c>
      <c r="J160" s="8">
        <f t="shared" si="42"/>
        <v>599232.34620000003</v>
      </c>
      <c r="K160" s="8">
        <v>40000</v>
      </c>
      <c r="L160" s="8">
        <v>60000</v>
      </c>
      <c r="M160" s="8">
        <v>450000</v>
      </c>
      <c r="N160" s="8">
        <v>50000</v>
      </c>
      <c r="O160" s="8">
        <f t="shared" si="28"/>
        <v>767.65379999997094</v>
      </c>
    </row>
    <row r="161" spans="1:15" ht="18" customHeight="1">
      <c r="A161" s="5">
        <v>139</v>
      </c>
      <c r="B161" s="5">
        <v>7570</v>
      </c>
      <c r="C161" s="6" t="s">
        <v>428</v>
      </c>
      <c r="D161" s="5">
        <v>12346</v>
      </c>
      <c r="E161" s="7" t="s">
        <v>164</v>
      </c>
      <c r="F161" s="8">
        <v>225864.84999999998</v>
      </c>
      <c r="G161" s="8">
        <v>178.42</v>
      </c>
      <c r="H161" s="8">
        <f t="shared" si="33"/>
        <v>271037.81999999995</v>
      </c>
      <c r="I161" s="8">
        <f t="shared" si="34"/>
        <v>365901.05699999991</v>
      </c>
      <c r="J161" s="8">
        <f t="shared" si="42"/>
        <v>365901.05699999991</v>
      </c>
      <c r="K161" s="5">
        <v>70000</v>
      </c>
      <c r="L161" s="5">
        <v>100000</v>
      </c>
      <c r="M161" s="5">
        <v>220000</v>
      </c>
      <c r="N161" s="5">
        <v>63000</v>
      </c>
      <c r="O161" s="8">
        <f t="shared" si="28"/>
        <v>87098.943000000087</v>
      </c>
    </row>
    <row r="162" spans="1:15" ht="18" customHeight="1">
      <c r="A162" s="5">
        <v>140</v>
      </c>
      <c r="B162" s="5">
        <v>2300</v>
      </c>
      <c r="C162" s="6" t="s">
        <v>429</v>
      </c>
      <c r="D162" s="5">
        <v>11038</v>
      </c>
      <c r="E162" s="7" t="s">
        <v>165</v>
      </c>
      <c r="F162" s="8">
        <v>191410.18999999997</v>
      </c>
      <c r="G162" s="8">
        <v>136.59</v>
      </c>
      <c r="H162" s="8">
        <f t="shared" si="33"/>
        <v>229692.22799999994</v>
      </c>
      <c r="I162" s="8">
        <f t="shared" si="34"/>
        <v>310084.5077999999</v>
      </c>
      <c r="J162" s="8">
        <f t="shared" si="42"/>
        <v>310084.5077999999</v>
      </c>
      <c r="K162" s="5">
        <v>10000</v>
      </c>
      <c r="L162" s="5">
        <v>40000</v>
      </c>
      <c r="M162" s="5">
        <v>442000</v>
      </c>
      <c r="N162" s="5">
        <v>10000</v>
      </c>
      <c r="O162" s="8">
        <f t="shared" si="28"/>
        <v>191915.4922000001</v>
      </c>
    </row>
    <row r="163" spans="1:15" ht="18" customHeight="1">
      <c r="A163" s="5">
        <v>141</v>
      </c>
      <c r="B163" s="5">
        <v>972</v>
      </c>
      <c r="C163" s="6" t="s">
        <v>430</v>
      </c>
      <c r="D163" s="5">
        <v>11111</v>
      </c>
      <c r="E163" s="7" t="s">
        <v>166</v>
      </c>
      <c r="F163" s="8">
        <v>467524.81000000006</v>
      </c>
      <c r="G163" s="8">
        <v>313.14999999999998</v>
      </c>
      <c r="H163" s="8">
        <f t="shared" si="33"/>
        <v>561029.77200000011</v>
      </c>
      <c r="I163" s="8">
        <f t="shared" si="34"/>
        <v>757390.19220000017</v>
      </c>
      <c r="J163" s="8">
        <f t="shared" si="42"/>
        <v>757390.19220000017</v>
      </c>
      <c r="K163" s="8">
        <v>50000</v>
      </c>
      <c r="L163" s="8">
        <v>400000</v>
      </c>
      <c r="M163" s="8">
        <v>230000</v>
      </c>
      <c r="N163" s="8">
        <v>80000</v>
      </c>
      <c r="O163" s="8">
        <f t="shared" si="28"/>
        <v>2609.807799999835</v>
      </c>
    </row>
    <row r="164" spans="1:15" ht="18" customHeight="1">
      <c r="A164" s="5">
        <v>142</v>
      </c>
      <c r="B164" s="5">
        <v>745</v>
      </c>
      <c r="C164" s="6" t="s">
        <v>431</v>
      </c>
      <c r="D164" s="5">
        <v>11113</v>
      </c>
      <c r="E164" s="7" t="s">
        <v>167</v>
      </c>
      <c r="F164" s="8">
        <v>275319.03000000003</v>
      </c>
      <c r="G164" s="8">
        <v>189.86</v>
      </c>
      <c r="H164" s="8">
        <f t="shared" si="33"/>
        <v>330382.83600000001</v>
      </c>
      <c r="I164" s="8">
        <f t="shared" si="34"/>
        <v>446016.82860000001</v>
      </c>
      <c r="J164" s="8">
        <f t="shared" si="42"/>
        <v>446016.82860000001</v>
      </c>
      <c r="K164" s="5">
        <v>70000</v>
      </c>
      <c r="L164" s="5">
        <v>130000</v>
      </c>
      <c r="M164" s="5">
        <v>150000</v>
      </c>
      <c r="N164" s="5">
        <v>160000</v>
      </c>
      <c r="O164" s="8">
        <f t="shared" si="28"/>
        <v>63983.171399999992</v>
      </c>
    </row>
    <row r="165" spans="1:15" ht="18" customHeight="1">
      <c r="A165" s="5">
        <v>143</v>
      </c>
      <c r="B165" s="5">
        <v>6134</v>
      </c>
      <c r="C165" s="6" t="s">
        <v>432</v>
      </c>
      <c r="D165" s="5">
        <v>11122</v>
      </c>
      <c r="E165" s="7" t="s">
        <v>168</v>
      </c>
      <c r="F165" s="8">
        <v>342410.94</v>
      </c>
      <c r="G165" s="8">
        <v>224.66</v>
      </c>
      <c r="H165" s="8">
        <f t="shared" si="33"/>
        <v>410893.12799999997</v>
      </c>
      <c r="I165" s="8">
        <f t="shared" si="34"/>
        <v>554705.72279999999</v>
      </c>
      <c r="J165" s="8">
        <f t="shared" si="42"/>
        <v>554705.72279999999</v>
      </c>
      <c r="K165" s="5">
        <v>150000</v>
      </c>
      <c r="L165" s="5">
        <v>100000</v>
      </c>
      <c r="M165" s="5">
        <v>200000</v>
      </c>
      <c r="N165" s="5">
        <v>105000</v>
      </c>
      <c r="O165" s="8">
        <f t="shared" si="28"/>
        <v>294.27720000001136</v>
      </c>
    </row>
    <row r="166" spans="1:15" ht="18" customHeight="1">
      <c r="A166" s="10" t="s">
        <v>12</v>
      </c>
      <c r="B166" s="11"/>
      <c r="C166" s="12"/>
      <c r="D166" s="11" t="s">
        <v>12</v>
      </c>
      <c r="E166" s="13" t="s">
        <v>169</v>
      </c>
      <c r="F166" s="14">
        <f>SUM(F158:F165)</f>
        <v>3220295.5100000002</v>
      </c>
      <c r="G166" s="14">
        <v>282.31</v>
      </c>
      <c r="H166" s="14">
        <f t="shared" si="33"/>
        <v>3864354.6120000007</v>
      </c>
      <c r="I166" s="14">
        <f t="shared" si="34"/>
        <v>5216878.7262000013</v>
      </c>
      <c r="J166" s="14">
        <f>SUM(J158:J165)</f>
        <v>5216878.7261999995</v>
      </c>
      <c r="K166" s="14">
        <f t="shared" ref="K166:O166" si="43">SUM(K158:K165)</f>
        <v>435000</v>
      </c>
      <c r="L166" s="14">
        <f t="shared" si="43"/>
        <v>940000</v>
      </c>
      <c r="M166" s="14">
        <f t="shared" si="43"/>
        <v>2334000</v>
      </c>
      <c r="N166" s="14">
        <f t="shared" si="43"/>
        <v>1858000</v>
      </c>
      <c r="O166" s="14">
        <f t="shared" si="43"/>
        <v>350121.27379999985</v>
      </c>
    </row>
    <row r="167" spans="1:15" ht="18" customHeight="1">
      <c r="A167" s="5">
        <v>144</v>
      </c>
      <c r="B167" s="5">
        <v>5011</v>
      </c>
      <c r="C167" s="6" t="s">
        <v>433</v>
      </c>
      <c r="D167" s="5">
        <v>12582</v>
      </c>
      <c r="E167" s="7" t="s">
        <v>170</v>
      </c>
      <c r="F167" s="8">
        <v>843102.1100000001</v>
      </c>
      <c r="G167" s="8">
        <v>593.82000000000005</v>
      </c>
      <c r="H167" s="8">
        <f t="shared" si="33"/>
        <v>1011722.5320000001</v>
      </c>
      <c r="I167" s="8">
        <f t="shared" si="34"/>
        <v>1365825.4182000002</v>
      </c>
      <c r="J167" s="8">
        <f>+I167</f>
        <v>1365825.4182000002</v>
      </c>
      <c r="K167" s="8">
        <v>50000</v>
      </c>
      <c r="L167" s="8">
        <v>50000</v>
      </c>
      <c r="M167" s="8">
        <v>1249000</v>
      </c>
      <c r="N167" s="8">
        <v>16825</v>
      </c>
      <c r="O167" s="8">
        <f t="shared" si="28"/>
        <v>-0.41820000018924475</v>
      </c>
    </row>
    <row r="168" spans="1:15" ht="18" customHeight="1">
      <c r="A168" s="5">
        <v>145</v>
      </c>
      <c r="B168" s="5">
        <v>7571</v>
      </c>
      <c r="C168" s="6" t="s">
        <v>434</v>
      </c>
      <c r="D168" s="5">
        <v>13635</v>
      </c>
      <c r="E168" s="7" t="s">
        <v>171</v>
      </c>
      <c r="F168" s="8">
        <v>201922.3</v>
      </c>
      <c r="G168" s="8">
        <v>147.06</v>
      </c>
      <c r="H168" s="8">
        <f t="shared" si="33"/>
        <v>242306.76</v>
      </c>
      <c r="I168" s="8">
        <f t="shared" si="34"/>
        <v>327114.12599999999</v>
      </c>
      <c r="J168" s="8">
        <v>435324.12599999999</v>
      </c>
      <c r="K168" s="5">
        <v>15000</v>
      </c>
      <c r="L168" s="5">
        <v>150000</v>
      </c>
      <c r="M168" s="5">
        <v>250000</v>
      </c>
      <c r="N168" s="5">
        <v>20500</v>
      </c>
      <c r="O168" s="8">
        <f t="shared" si="28"/>
        <v>175.87400000001071</v>
      </c>
    </row>
    <row r="169" spans="1:15" ht="18" customHeight="1">
      <c r="A169" s="5">
        <v>146</v>
      </c>
      <c r="B169" s="5">
        <v>1932</v>
      </c>
      <c r="C169" s="6" t="s">
        <v>435</v>
      </c>
      <c r="D169" s="5">
        <v>11033</v>
      </c>
      <c r="E169" s="7" t="s">
        <v>172</v>
      </c>
      <c r="F169" s="8">
        <v>320879.76</v>
      </c>
      <c r="G169" s="8">
        <v>233.85</v>
      </c>
      <c r="H169" s="8">
        <f t="shared" si="33"/>
        <v>385055.71200000006</v>
      </c>
      <c r="I169" s="8">
        <f t="shared" si="34"/>
        <v>519825.21120000008</v>
      </c>
      <c r="J169" s="8">
        <f t="shared" ref="J169:J172" si="44">+I169</f>
        <v>519825.21120000008</v>
      </c>
      <c r="K169" s="8">
        <v>20000</v>
      </c>
      <c r="L169" s="8">
        <v>20000</v>
      </c>
      <c r="M169" s="8">
        <v>450000</v>
      </c>
      <c r="N169" s="8">
        <v>30000</v>
      </c>
      <c r="O169" s="8">
        <f t="shared" si="28"/>
        <v>174.78879999992205</v>
      </c>
    </row>
    <row r="170" spans="1:15" ht="18" customHeight="1">
      <c r="A170" s="5">
        <v>147</v>
      </c>
      <c r="B170" s="5">
        <v>4181</v>
      </c>
      <c r="C170" s="6" t="s">
        <v>436</v>
      </c>
      <c r="D170" s="5">
        <v>11006</v>
      </c>
      <c r="E170" s="7" t="s">
        <v>173</v>
      </c>
      <c r="F170" s="8">
        <v>377017.13</v>
      </c>
      <c r="G170" s="8">
        <v>254.7</v>
      </c>
      <c r="H170" s="8">
        <f t="shared" si="33"/>
        <v>452420.55600000004</v>
      </c>
      <c r="I170" s="8">
        <f t="shared" si="34"/>
        <v>610767.75060000003</v>
      </c>
      <c r="J170" s="8">
        <f t="shared" si="44"/>
        <v>610767.75060000003</v>
      </c>
      <c r="K170" s="8">
        <v>10000</v>
      </c>
      <c r="L170" s="8">
        <v>25000</v>
      </c>
      <c r="M170" s="8">
        <v>500000</v>
      </c>
      <c r="N170" s="8">
        <v>75800</v>
      </c>
      <c r="O170" s="8">
        <f t="shared" si="28"/>
        <v>32.249399999971502</v>
      </c>
    </row>
    <row r="171" spans="1:15" ht="18" customHeight="1">
      <c r="A171" s="5">
        <v>148</v>
      </c>
      <c r="B171" s="5">
        <v>7404</v>
      </c>
      <c r="C171" s="6" t="s">
        <v>437</v>
      </c>
      <c r="D171" s="5">
        <v>11007</v>
      </c>
      <c r="E171" s="7" t="s">
        <v>174</v>
      </c>
      <c r="F171" s="8">
        <v>435141.70999999996</v>
      </c>
      <c r="G171" s="8">
        <v>305.16000000000003</v>
      </c>
      <c r="H171" s="8">
        <f t="shared" si="33"/>
        <v>522170.05199999991</v>
      </c>
      <c r="I171" s="8">
        <f t="shared" si="34"/>
        <v>704929.57019999984</v>
      </c>
      <c r="J171" s="8">
        <f t="shared" si="44"/>
        <v>704929.57019999984</v>
      </c>
      <c r="K171" s="8">
        <v>15000</v>
      </c>
      <c r="L171" s="8">
        <v>35000</v>
      </c>
      <c r="M171" s="8">
        <v>620000</v>
      </c>
      <c r="N171" s="8">
        <v>34950</v>
      </c>
      <c r="O171" s="8">
        <f t="shared" si="28"/>
        <v>20.429800000158139</v>
      </c>
    </row>
    <row r="172" spans="1:15" ht="18" customHeight="1">
      <c r="A172" s="5">
        <v>149</v>
      </c>
      <c r="B172" s="5">
        <v>6445</v>
      </c>
      <c r="C172" s="6" t="s">
        <v>438</v>
      </c>
      <c r="D172" s="5">
        <v>13261</v>
      </c>
      <c r="E172" s="7" t="s">
        <v>175</v>
      </c>
      <c r="F172" s="8">
        <v>413771.97</v>
      </c>
      <c r="G172" s="8">
        <v>293.8</v>
      </c>
      <c r="H172" s="8">
        <f t="shared" si="33"/>
        <v>496526.364</v>
      </c>
      <c r="I172" s="8">
        <f t="shared" si="34"/>
        <v>670310.59140000003</v>
      </c>
      <c r="J172" s="8">
        <f t="shared" si="44"/>
        <v>670310.59140000003</v>
      </c>
      <c r="K172" s="8">
        <v>5000</v>
      </c>
      <c r="L172" s="8">
        <v>25000</v>
      </c>
      <c r="M172" s="8">
        <v>630000</v>
      </c>
      <c r="N172" s="8">
        <v>10400</v>
      </c>
      <c r="O172" s="8">
        <f t="shared" si="28"/>
        <v>89.4085999999661</v>
      </c>
    </row>
    <row r="173" spans="1:15" ht="18" customHeight="1">
      <c r="A173" s="5">
        <v>150</v>
      </c>
      <c r="B173" s="5">
        <v>3197</v>
      </c>
      <c r="C173" s="6" t="s">
        <v>414</v>
      </c>
      <c r="D173" s="5">
        <v>11036</v>
      </c>
      <c r="E173" s="7" t="s">
        <v>176</v>
      </c>
      <c r="F173" s="8">
        <v>252208.82</v>
      </c>
      <c r="G173" s="8">
        <v>158.44</v>
      </c>
      <c r="H173" s="8">
        <f t="shared" si="33"/>
        <v>302650.58400000003</v>
      </c>
      <c r="I173" s="8">
        <f t="shared" si="34"/>
        <v>408578.28840000002</v>
      </c>
      <c r="J173" s="5">
        <v>486578</v>
      </c>
      <c r="K173" s="5">
        <v>50000</v>
      </c>
      <c r="L173" s="5">
        <v>100000</v>
      </c>
      <c r="M173" s="5">
        <v>236600</v>
      </c>
      <c r="N173" s="5">
        <v>100000</v>
      </c>
      <c r="O173" s="8">
        <f t="shared" si="28"/>
        <v>22</v>
      </c>
    </row>
    <row r="174" spans="1:15" ht="18" customHeight="1">
      <c r="A174" s="5">
        <v>151</v>
      </c>
      <c r="B174" s="5">
        <v>3038</v>
      </c>
      <c r="C174" s="6" t="s">
        <v>439</v>
      </c>
      <c r="D174" s="5">
        <v>12335</v>
      </c>
      <c r="E174" s="7" t="s">
        <v>177</v>
      </c>
      <c r="F174" s="8">
        <v>307175.75999999995</v>
      </c>
      <c r="G174" s="8">
        <v>230.88</v>
      </c>
      <c r="H174" s="8">
        <f t="shared" si="33"/>
        <v>368610.91199999989</v>
      </c>
      <c r="I174" s="8">
        <f t="shared" si="34"/>
        <v>497624.73119999986</v>
      </c>
      <c r="J174" s="8">
        <f>+I174</f>
        <v>497624.73119999986</v>
      </c>
      <c r="K174" s="8">
        <v>70000</v>
      </c>
      <c r="L174" s="8">
        <v>100000</v>
      </c>
      <c r="M174" s="8">
        <v>238000</v>
      </c>
      <c r="N174" s="8">
        <v>89950</v>
      </c>
      <c r="O174" s="8">
        <f t="shared" si="28"/>
        <v>325.26880000013625</v>
      </c>
    </row>
    <row r="175" spans="1:15" ht="18" customHeight="1">
      <c r="A175" s="10" t="s">
        <v>12</v>
      </c>
      <c r="B175" s="11"/>
      <c r="C175" s="12"/>
      <c r="D175" s="11" t="s">
        <v>12</v>
      </c>
      <c r="E175" s="13" t="s">
        <v>178</v>
      </c>
      <c r="F175" s="14">
        <f>SUM(F167:F174)</f>
        <v>3151219.56</v>
      </c>
      <c r="G175" s="14">
        <v>277.69</v>
      </c>
      <c r="H175" s="14">
        <f t="shared" si="33"/>
        <v>3781463.4720000001</v>
      </c>
      <c r="I175" s="14">
        <f t="shared" si="34"/>
        <v>5104975.6872000005</v>
      </c>
      <c r="J175" s="14">
        <f>SUM(J167:J174)</f>
        <v>5291185.3988000005</v>
      </c>
      <c r="K175" s="14">
        <f t="shared" ref="K175:O175" si="45">SUM(K167:K174)</f>
        <v>235000</v>
      </c>
      <c r="L175" s="14">
        <f t="shared" si="45"/>
        <v>505000</v>
      </c>
      <c r="M175" s="14">
        <f t="shared" si="45"/>
        <v>4173600</v>
      </c>
      <c r="N175" s="14">
        <f t="shared" si="45"/>
        <v>378425</v>
      </c>
      <c r="O175" s="14">
        <f t="shared" si="45"/>
        <v>839.60119999997551</v>
      </c>
    </row>
    <row r="176" spans="1:15" ht="18" customHeight="1">
      <c r="A176" s="16" t="s">
        <v>12</v>
      </c>
      <c r="B176" s="16"/>
      <c r="C176" s="17"/>
      <c r="D176" s="16" t="s">
        <v>12</v>
      </c>
      <c r="E176" s="18" t="s">
        <v>179</v>
      </c>
      <c r="F176" s="19">
        <f>F175+F166+F157+F149+F140+F131+F122</f>
        <v>22669947.450000003</v>
      </c>
      <c r="G176" s="19">
        <v>295.12</v>
      </c>
      <c r="H176" s="19">
        <f t="shared" si="33"/>
        <v>27203936.940000001</v>
      </c>
      <c r="I176" s="19">
        <f t="shared" si="34"/>
        <v>36725314.869000003</v>
      </c>
      <c r="J176" s="19">
        <f>J175+J166+J157+J149+J140+J131+J122</f>
        <v>37252999.386600003</v>
      </c>
      <c r="K176" s="19">
        <f t="shared" ref="K176:O176" si="46">K175+K166+K157+K149+K140+K131+K122</f>
        <v>7711000</v>
      </c>
      <c r="L176" s="19">
        <f t="shared" si="46"/>
        <v>9830000</v>
      </c>
      <c r="M176" s="19">
        <f t="shared" si="46"/>
        <v>15168600</v>
      </c>
      <c r="N176" s="19">
        <f t="shared" si="46"/>
        <v>4922425</v>
      </c>
      <c r="O176" s="19">
        <f t="shared" si="46"/>
        <v>379025.61339999939</v>
      </c>
    </row>
    <row r="177" spans="1:15" ht="18" customHeight="1">
      <c r="A177" s="5">
        <v>152</v>
      </c>
      <c r="B177" s="5">
        <v>5694</v>
      </c>
      <c r="C177" s="6" t="s">
        <v>440</v>
      </c>
      <c r="D177" s="5">
        <v>11107</v>
      </c>
      <c r="E177" s="7" t="s">
        <v>180</v>
      </c>
      <c r="F177" s="8">
        <v>344188.38</v>
      </c>
      <c r="G177" s="8">
        <v>219.48</v>
      </c>
      <c r="H177" s="8">
        <f t="shared" si="33"/>
        <v>413026.05600000004</v>
      </c>
      <c r="I177" s="8">
        <f t="shared" si="34"/>
        <v>557585.17560000008</v>
      </c>
      <c r="J177" s="37">
        <v>575000</v>
      </c>
      <c r="K177" s="5">
        <v>325000</v>
      </c>
      <c r="L177" s="5">
        <v>0</v>
      </c>
      <c r="M177" s="5">
        <v>250000</v>
      </c>
      <c r="N177" s="5">
        <v>0</v>
      </c>
      <c r="O177" s="8">
        <f t="shared" ref="O177:O227" si="47">(K177+L177+M177+N177)-J177</f>
        <v>0</v>
      </c>
    </row>
    <row r="178" spans="1:15" ht="18" customHeight="1">
      <c r="A178" s="5">
        <v>153</v>
      </c>
      <c r="B178" s="5">
        <v>3595</v>
      </c>
      <c r="C178" s="6" t="s">
        <v>441</v>
      </c>
      <c r="D178" s="5">
        <v>11106</v>
      </c>
      <c r="E178" s="7" t="s">
        <v>181</v>
      </c>
      <c r="F178" s="8">
        <v>412273.44</v>
      </c>
      <c r="G178" s="8">
        <v>249.46</v>
      </c>
      <c r="H178" s="8">
        <f t="shared" si="33"/>
        <v>494728.12799999997</v>
      </c>
      <c r="I178" s="8">
        <f t="shared" si="34"/>
        <v>667882.97279999999</v>
      </c>
      <c r="J178" s="8">
        <f t="shared" ref="J178:J183" si="48">+I178</f>
        <v>667882.97279999999</v>
      </c>
      <c r="K178" s="8">
        <v>250000</v>
      </c>
      <c r="L178" s="8">
        <v>0</v>
      </c>
      <c r="M178" s="8">
        <v>418000</v>
      </c>
      <c r="N178" s="8">
        <v>0</v>
      </c>
      <c r="O178" s="8">
        <f t="shared" si="47"/>
        <v>117.02720000001136</v>
      </c>
    </row>
    <row r="179" spans="1:15" ht="18" customHeight="1">
      <c r="A179" s="5">
        <v>154</v>
      </c>
      <c r="B179" s="5">
        <v>3716</v>
      </c>
      <c r="C179" s="6" t="s">
        <v>442</v>
      </c>
      <c r="D179" s="5">
        <v>12345</v>
      </c>
      <c r="E179" s="7" t="s">
        <v>182</v>
      </c>
      <c r="F179" s="8">
        <v>334233.12</v>
      </c>
      <c r="G179" s="8">
        <v>225.34</v>
      </c>
      <c r="H179" s="8">
        <f t="shared" si="33"/>
        <v>401079.74399999995</v>
      </c>
      <c r="I179" s="8">
        <f t="shared" si="34"/>
        <v>541457.65439999988</v>
      </c>
      <c r="J179" s="8">
        <f t="shared" si="48"/>
        <v>541457.65439999988</v>
      </c>
      <c r="K179" s="8">
        <v>342000</v>
      </c>
      <c r="L179" s="8">
        <v>0</v>
      </c>
      <c r="M179" s="8">
        <v>200000</v>
      </c>
      <c r="N179" s="8">
        <v>0</v>
      </c>
      <c r="O179" s="8">
        <f t="shared" si="47"/>
        <v>542.34560000011697</v>
      </c>
    </row>
    <row r="180" spans="1:15" ht="18" customHeight="1">
      <c r="A180" s="5">
        <v>155</v>
      </c>
      <c r="B180" s="5">
        <v>5971</v>
      </c>
      <c r="C180" s="6" t="s">
        <v>443</v>
      </c>
      <c r="D180" s="5">
        <v>13059</v>
      </c>
      <c r="E180" s="7" t="s">
        <v>183</v>
      </c>
      <c r="F180" s="8">
        <v>561316.30999999994</v>
      </c>
      <c r="G180" s="8">
        <v>363.59</v>
      </c>
      <c r="H180" s="8">
        <f t="shared" si="33"/>
        <v>673579.57199999993</v>
      </c>
      <c r="I180" s="8">
        <f t="shared" si="34"/>
        <v>909332.42219999991</v>
      </c>
      <c r="J180" s="8">
        <f t="shared" si="48"/>
        <v>909332.42219999991</v>
      </c>
      <c r="K180" s="8">
        <v>550000</v>
      </c>
      <c r="L180" s="8">
        <v>0</v>
      </c>
      <c r="M180" s="8">
        <v>360000</v>
      </c>
      <c r="N180" s="8">
        <v>0</v>
      </c>
      <c r="O180" s="8">
        <f t="shared" si="47"/>
        <v>667.57780000008643</v>
      </c>
    </row>
    <row r="181" spans="1:15" ht="18" customHeight="1">
      <c r="A181" s="5">
        <v>156</v>
      </c>
      <c r="B181" s="5">
        <v>4039</v>
      </c>
      <c r="C181" s="6" t="s">
        <v>444</v>
      </c>
      <c r="D181" s="5">
        <v>11110</v>
      </c>
      <c r="E181" s="7" t="s">
        <v>184</v>
      </c>
      <c r="F181" s="8">
        <v>598534.5</v>
      </c>
      <c r="G181" s="8">
        <v>369.46</v>
      </c>
      <c r="H181" s="8">
        <f t="shared" si="33"/>
        <v>718241.39999999991</v>
      </c>
      <c r="I181" s="8">
        <f t="shared" si="34"/>
        <v>969625.8899999999</v>
      </c>
      <c r="J181" s="8">
        <f t="shared" si="48"/>
        <v>969625.8899999999</v>
      </c>
      <c r="K181" s="8">
        <v>150000</v>
      </c>
      <c r="L181" s="8">
        <v>350000</v>
      </c>
      <c r="M181" s="8">
        <v>400000</v>
      </c>
      <c r="N181" s="8">
        <v>70000</v>
      </c>
      <c r="O181" s="8">
        <f t="shared" si="47"/>
        <v>374.11000000010245</v>
      </c>
    </row>
    <row r="182" spans="1:15" ht="18" customHeight="1">
      <c r="A182" s="5">
        <v>157</v>
      </c>
      <c r="B182" s="5">
        <v>5618</v>
      </c>
      <c r="C182" s="6" t="s">
        <v>369</v>
      </c>
      <c r="D182" s="5">
        <v>12551</v>
      </c>
      <c r="E182" s="7" t="s">
        <v>185</v>
      </c>
      <c r="F182" s="8">
        <v>450639.12</v>
      </c>
      <c r="G182" s="8">
        <v>291.98</v>
      </c>
      <c r="H182" s="8">
        <f t="shared" si="33"/>
        <v>540766.9439999999</v>
      </c>
      <c r="I182" s="8">
        <f t="shared" si="34"/>
        <v>730035.37439999986</v>
      </c>
      <c r="J182" s="8">
        <f t="shared" si="48"/>
        <v>730035.37439999986</v>
      </c>
      <c r="K182" s="8">
        <v>30000</v>
      </c>
      <c r="L182" s="8">
        <v>300000</v>
      </c>
      <c r="M182" s="8">
        <v>300000</v>
      </c>
      <c r="N182" s="8">
        <v>100500</v>
      </c>
      <c r="O182" s="8">
        <f t="shared" si="47"/>
        <v>464.62560000014491</v>
      </c>
    </row>
    <row r="183" spans="1:15" ht="18" customHeight="1">
      <c r="A183" s="5">
        <v>158</v>
      </c>
      <c r="B183" s="5">
        <v>5802</v>
      </c>
      <c r="C183" s="6" t="s">
        <v>445</v>
      </c>
      <c r="D183" s="5">
        <v>13178</v>
      </c>
      <c r="E183" s="7" t="s">
        <v>186</v>
      </c>
      <c r="F183" s="8">
        <v>500809.54000000004</v>
      </c>
      <c r="G183" s="8">
        <v>324.20999999999998</v>
      </c>
      <c r="H183" s="8">
        <f t="shared" si="33"/>
        <v>600971.44800000009</v>
      </c>
      <c r="I183" s="8">
        <f t="shared" si="34"/>
        <v>811311.45480000018</v>
      </c>
      <c r="J183" s="8">
        <f t="shared" si="48"/>
        <v>811311.45480000018</v>
      </c>
      <c r="K183" s="8">
        <v>50000</v>
      </c>
      <c r="L183" s="8">
        <v>350000</v>
      </c>
      <c r="M183" s="8">
        <v>350000</v>
      </c>
      <c r="N183" s="8">
        <v>62000</v>
      </c>
      <c r="O183" s="8">
        <f t="shared" si="47"/>
        <v>688.54519999981858</v>
      </c>
    </row>
    <row r="184" spans="1:15" ht="18" customHeight="1">
      <c r="A184" s="10" t="s">
        <v>12</v>
      </c>
      <c r="B184" s="11"/>
      <c r="C184" s="12"/>
      <c r="D184" s="11" t="s">
        <v>12</v>
      </c>
      <c r="E184" s="13" t="s">
        <v>187</v>
      </c>
      <c r="F184" s="14">
        <f>SUM(F177:F183)</f>
        <v>3201994.41</v>
      </c>
      <c r="G184" s="14">
        <v>292.83999999999997</v>
      </c>
      <c r="H184" s="14">
        <f t="shared" si="33"/>
        <v>3842393.2919999999</v>
      </c>
      <c r="I184" s="14">
        <f t="shared" si="34"/>
        <v>5187230.9441999998</v>
      </c>
      <c r="J184" s="14">
        <f>SUM(J177:J183)</f>
        <v>5204645.7686000001</v>
      </c>
      <c r="K184" s="14">
        <f t="shared" ref="K184:O184" si="49">SUM(K177:K183)</f>
        <v>1697000</v>
      </c>
      <c r="L184" s="14">
        <f t="shared" si="49"/>
        <v>1000000</v>
      </c>
      <c r="M184" s="14">
        <f t="shared" si="49"/>
        <v>2278000</v>
      </c>
      <c r="N184" s="14">
        <f t="shared" si="49"/>
        <v>232500</v>
      </c>
      <c r="O184" s="14">
        <f t="shared" si="49"/>
        <v>2854.2314000002807</v>
      </c>
    </row>
    <row r="185" spans="1:15" ht="18" customHeight="1">
      <c r="A185" s="5">
        <v>159</v>
      </c>
      <c r="B185" s="5">
        <v>3269</v>
      </c>
      <c r="C185" s="6" t="s">
        <v>446</v>
      </c>
      <c r="D185" s="5">
        <v>11811</v>
      </c>
      <c r="E185" s="7" t="s">
        <v>188</v>
      </c>
      <c r="F185" s="8">
        <v>302809.78000000003</v>
      </c>
      <c r="G185" s="8">
        <v>162.28</v>
      </c>
      <c r="H185" s="8">
        <f t="shared" si="33"/>
        <v>363371.73600000003</v>
      </c>
      <c r="I185" s="8">
        <f t="shared" si="34"/>
        <v>490551.84360000002</v>
      </c>
      <c r="J185" s="38">
        <v>560760</v>
      </c>
      <c r="K185" s="5">
        <v>240320</v>
      </c>
      <c r="L185" s="5">
        <v>0</v>
      </c>
      <c r="M185" s="5">
        <v>320440</v>
      </c>
      <c r="N185" s="5">
        <v>0</v>
      </c>
      <c r="O185" s="8">
        <f t="shared" si="47"/>
        <v>0</v>
      </c>
    </row>
    <row r="186" spans="1:15" ht="18" customHeight="1">
      <c r="A186" s="5">
        <v>160</v>
      </c>
      <c r="B186" s="5">
        <v>1704</v>
      </c>
      <c r="C186" s="6" t="s">
        <v>447</v>
      </c>
      <c r="D186" s="5">
        <v>11022</v>
      </c>
      <c r="E186" s="7" t="s">
        <v>189</v>
      </c>
      <c r="F186" s="8">
        <v>406852.78</v>
      </c>
      <c r="G186" s="8">
        <v>299.5</v>
      </c>
      <c r="H186" s="8">
        <f t="shared" si="33"/>
        <v>488223.33600000007</v>
      </c>
      <c r="I186" s="8">
        <f t="shared" si="34"/>
        <v>659101.50360000005</v>
      </c>
      <c r="J186" s="8">
        <f t="shared" ref="J186:J190" si="50">+I186</f>
        <v>659101.50360000005</v>
      </c>
      <c r="K186" s="8">
        <v>330000</v>
      </c>
      <c r="L186" s="5">
        <v>0</v>
      </c>
      <c r="M186" s="8">
        <v>330000</v>
      </c>
      <c r="N186" s="5">
        <v>0</v>
      </c>
      <c r="O186" s="8">
        <f t="shared" si="47"/>
        <v>898.49639999994542</v>
      </c>
    </row>
    <row r="187" spans="1:15" ht="18" customHeight="1">
      <c r="A187" s="5">
        <v>161</v>
      </c>
      <c r="B187" s="5">
        <v>5039</v>
      </c>
      <c r="C187" s="6" t="s">
        <v>448</v>
      </c>
      <c r="D187" s="5">
        <v>11020</v>
      </c>
      <c r="E187" s="7" t="s">
        <v>190</v>
      </c>
      <c r="F187" s="8">
        <v>368019.1</v>
      </c>
      <c r="G187" s="8">
        <v>287.25</v>
      </c>
      <c r="H187" s="8">
        <f t="shared" si="33"/>
        <v>441622.91999999993</v>
      </c>
      <c r="I187" s="8">
        <f t="shared" si="34"/>
        <v>596190.94199999992</v>
      </c>
      <c r="J187" s="8">
        <f t="shared" si="50"/>
        <v>596190.94199999992</v>
      </c>
      <c r="K187" s="8">
        <v>295000</v>
      </c>
      <c r="L187" s="5">
        <v>0</v>
      </c>
      <c r="M187" s="8">
        <v>302000</v>
      </c>
      <c r="N187" s="5">
        <v>0</v>
      </c>
      <c r="O187" s="8">
        <f t="shared" si="47"/>
        <v>809.0580000000773</v>
      </c>
    </row>
    <row r="188" spans="1:15" ht="18" customHeight="1">
      <c r="A188" s="5">
        <v>162</v>
      </c>
      <c r="B188" s="5">
        <v>7303</v>
      </c>
      <c r="C188" s="6" t="s">
        <v>449</v>
      </c>
      <c r="D188" s="5">
        <v>11023</v>
      </c>
      <c r="E188" s="7" t="s">
        <v>191</v>
      </c>
      <c r="F188" s="8">
        <v>308136.86</v>
      </c>
      <c r="G188" s="8">
        <v>234.13</v>
      </c>
      <c r="H188" s="8">
        <f t="shared" si="33"/>
        <v>369764.23199999996</v>
      </c>
      <c r="I188" s="8">
        <f t="shared" si="34"/>
        <v>499181.71319999994</v>
      </c>
      <c r="J188" s="8">
        <f t="shared" si="50"/>
        <v>499181.71319999994</v>
      </c>
      <c r="K188" s="8">
        <v>250000</v>
      </c>
      <c r="L188" s="5">
        <v>0</v>
      </c>
      <c r="M188" s="8">
        <v>250000</v>
      </c>
      <c r="N188" s="5">
        <v>0</v>
      </c>
      <c r="O188" s="8">
        <f t="shared" si="47"/>
        <v>818.28680000005988</v>
      </c>
    </row>
    <row r="189" spans="1:15" ht="18" customHeight="1">
      <c r="A189" s="5">
        <v>163</v>
      </c>
      <c r="B189" s="5">
        <v>2840</v>
      </c>
      <c r="C189" s="6" t="s">
        <v>450</v>
      </c>
      <c r="D189" s="5">
        <v>11024</v>
      </c>
      <c r="E189" s="7" t="s">
        <v>192</v>
      </c>
      <c r="F189" s="8">
        <v>464517.75999999995</v>
      </c>
      <c r="G189" s="8">
        <v>317.95</v>
      </c>
      <c r="H189" s="8">
        <f t="shared" si="33"/>
        <v>557421.31199999992</v>
      </c>
      <c r="I189" s="8">
        <f t="shared" si="34"/>
        <v>752518.77119999984</v>
      </c>
      <c r="J189" s="8">
        <f t="shared" si="50"/>
        <v>752518.77119999984</v>
      </c>
      <c r="K189" s="8">
        <v>152000</v>
      </c>
      <c r="L189" s="8">
        <v>350000</v>
      </c>
      <c r="M189" s="8">
        <v>250000</v>
      </c>
      <c r="N189" s="5">
        <v>0</v>
      </c>
      <c r="O189" s="8">
        <f t="shared" si="47"/>
        <v>-518.77119999984279</v>
      </c>
    </row>
    <row r="190" spans="1:15" ht="18" customHeight="1">
      <c r="A190" s="5">
        <v>164</v>
      </c>
      <c r="B190" s="5">
        <v>7117</v>
      </c>
      <c r="C190" s="6" t="s">
        <v>451</v>
      </c>
      <c r="D190" s="5">
        <v>12601</v>
      </c>
      <c r="E190" s="7" t="s">
        <v>193</v>
      </c>
      <c r="F190" s="8">
        <v>312103.95999999996</v>
      </c>
      <c r="G190" s="8">
        <v>260.87</v>
      </c>
      <c r="H190" s="8">
        <f t="shared" si="33"/>
        <v>374524.75199999998</v>
      </c>
      <c r="I190" s="8">
        <f t="shared" si="34"/>
        <v>505608.41519999993</v>
      </c>
      <c r="J190" s="8">
        <f t="shared" si="50"/>
        <v>505608.41519999993</v>
      </c>
      <c r="K190" s="8">
        <v>205000</v>
      </c>
      <c r="L190" s="5">
        <v>0</v>
      </c>
      <c r="M190" s="8">
        <v>300000</v>
      </c>
      <c r="N190" s="5">
        <v>0</v>
      </c>
      <c r="O190" s="8">
        <f t="shared" si="47"/>
        <v>-608.41519999993034</v>
      </c>
    </row>
    <row r="191" spans="1:15" ht="18" customHeight="1">
      <c r="A191" s="5">
        <v>165</v>
      </c>
      <c r="B191" s="5">
        <v>5188</v>
      </c>
      <c r="C191" s="6" t="s">
        <v>452</v>
      </c>
      <c r="D191" s="5">
        <v>13661</v>
      </c>
      <c r="E191" s="7" t="s">
        <v>194</v>
      </c>
      <c r="F191" s="8">
        <v>334801.87</v>
      </c>
      <c r="G191" s="8">
        <v>185.55</v>
      </c>
      <c r="H191" s="8">
        <f t="shared" si="33"/>
        <v>401762.24399999995</v>
      </c>
      <c r="I191" s="8">
        <f t="shared" si="34"/>
        <v>542379.02939999988</v>
      </c>
      <c r="J191" s="38">
        <v>555750</v>
      </c>
      <c r="K191" s="5">
        <v>365000</v>
      </c>
      <c r="L191" s="5">
        <v>0</v>
      </c>
      <c r="M191" s="5">
        <v>190000</v>
      </c>
      <c r="N191" s="5">
        <v>0</v>
      </c>
      <c r="O191" s="8">
        <f t="shared" si="47"/>
        <v>-750</v>
      </c>
    </row>
    <row r="192" spans="1:15" ht="18" customHeight="1">
      <c r="A192" s="5">
        <v>166</v>
      </c>
      <c r="B192" s="5">
        <v>7619</v>
      </c>
      <c r="C192" s="6" t="s">
        <v>453</v>
      </c>
      <c r="D192" s="5">
        <v>14546</v>
      </c>
      <c r="E192" s="7" t="s">
        <v>195</v>
      </c>
      <c r="F192" s="8">
        <v>180016.39</v>
      </c>
      <c r="G192" s="8">
        <v>187.72</v>
      </c>
      <c r="H192" s="8">
        <f t="shared" si="33"/>
        <v>216019.66800000003</v>
      </c>
      <c r="I192" s="8">
        <f t="shared" si="34"/>
        <v>291626.55180000002</v>
      </c>
      <c r="J192" s="38">
        <v>310625</v>
      </c>
      <c r="K192" s="5">
        <v>180000</v>
      </c>
      <c r="L192" s="5">
        <v>0</v>
      </c>
      <c r="M192" s="5">
        <v>130000</v>
      </c>
      <c r="N192" s="5">
        <v>0</v>
      </c>
      <c r="O192" s="8">
        <f t="shared" si="47"/>
        <v>-625</v>
      </c>
    </row>
    <row r="193" spans="1:15" ht="18" customHeight="1">
      <c r="A193" s="10" t="s">
        <v>12</v>
      </c>
      <c r="B193" s="11"/>
      <c r="C193" s="12"/>
      <c r="D193" s="11" t="s">
        <v>12</v>
      </c>
      <c r="E193" s="13" t="s">
        <v>196</v>
      </c>
      <c r="F193" s="14">
        <f>SUM(F185:F192)</f>
        <v>2677258.5000000005</v>
      </c>
      <c r="G193" s="14">
        <v>238.21</v>
      </c>
      <c r="H193" s="14">
        <f t="shared" si="33"/>
        <v>3212710.2</v>
      </c>
      <c r="I193" s="14">
        <f t="shared" si="34"/>
        <v>4337158.7700000005</v>
      </c>
      <c r="J193" s="14">
        <f>SUM(J185:J192)</f>
        <v>4439736.3451999994</v>
      </c>
      <c r="K193" s="14">
        <f t="shared" ref="K193:O193" si="51">SUM(K185:K192)</f>
        <v>2017320</v>
      </c>
      <c r="L193" s="14">
        <f t="shared" si="51"/>
        <v>350000</v>
      </c>
      <c r="M193" s="14">
        <f t="shared" si="51"/>
        <v>2072440</v>
      </c>
      <c r="N193" s="14">
        <f t="shared" si="51"/>
        <v>0</v>
      </c>
      <c r="O193" s="14">
        <f t="shared" si="51"/>
        <v>23.654800000309478</v>
      </c>
    </row>
    <row r="194" spans="1:15" ht="18" customHeight="1">
      <c r="A194" s="5">
        <v>167</v>
      </c>
      <c r="B194" s="5">
        <v>1597</v>
      </c>
      <c r="C194" s="6" t="s">
        <v>454</v>
      </c>
      <c r="D194" s="5">
        <v>11019</v>
      </c>
      <c r="E194" s="7" t="s">
        <v>197</v>
      </c>
      <c r="F194" s="8">
        <v>420268.14</v>
      </c>
      <c r="G194" s="8">
        <v>254.67</v>
      </c>
      <c r="H194" s="8">
        <f t="shared" si="33"/>
        <v>504321.76799999998</v>
      </c>
      <c r="I194" s="8">
        <f t="shared" si="34"/>
        <v>680834.38679999998</v>
      </c>
      <c r="J194" s="8">
        <f t="shared" ref="J194:J196" si="52">+I194</f>
        <v>680834.38679999998</v>
      </c>
      <c r="K194" s="8">
        <v>350000</v>
      </c>
      <c r="L194" s="5">
        <v>0</v>
      </c>
      <c r="M194" s="8">
        <v>330834</v>
      </c>
      <c r="N194" s="5">
        <v>0</v>
      </c>
      <c r="O194" s="8">
        <f t="shared" si="47"/>
        <v>-0.38679999997839332</v>
      </c>
    </row>
    <row r="195" spans="1:15" ht="18" customHeight="1">
      <c r="A195" s="5">
        <v>168</v>
      </c>
      <c r="B195" s="5">
        <v>7423</v>
      </c>
      <c r="C195" s="6" t="s">
        <v>455</v>
      </c>
      <c r="D195" s="5">
        <v>11021</v>
      </c>
      <c r="E195" s="7" t="s">
        <v>198</v>
      </c>
      <c r="F195" s="8">
        <v>331412.63</v>
      </c>
      <c r="G195" s="8">
        <v>221.97</v>
      </c>
      <c r="H195" s="8">
        <f t="shared" si="33"/>
        <v>397695.15599999996</v>
      </c>
      <c r="I195" s="8">
        <f t="shared" si="34"/>
        <v>536888.46059999987</v>
      </c>
      <c r="J195" s="8">
        <f t="shared" si="52"/>
        <v>536888.46059999987</v>
      </c>
      <c r="K195" s="8">
        <v>350000</v>
      </c>
      <c r="L195" s="5">
        <v>0</v>
      </c>
      <c r="M195" s="8">
        <v>186888</v>
      </c>
      <c r="N195" s="5">
        <v>0</v>
      </c>
      <c r="O195" s="8">
        <f t="shared" si="47"/>
        <v>-0.46059999987483025</v>
      </c>
    </row>
    <row r="196" spans="1:15" ht="18" customHeight="1">
      <c r="A196" s="5">
        <v>169</v>
      </c>
      <c r="B196" s="5">
        <v>3681</v>
      </c>
      <c r="C196" s="6" t="s">
        <v>456</v>
      </c>
      <c r="D196" s="5">
        <v>12298</v>
      </c>
      <c r="E196" s="7" t="s">
        <v>199</v>
      </c>
      <c r="F196" s="8">
        <v>478055.19999999995</v>
      </c>
      <c r="G196" s="8">
        <v>299.51</v>
      </c>
      <c r="H196" s="8">
        <f t="shared" ref="H196:H259" si="53">(F196/5)*6</f>
        <v>573666.24</v>
      </c>
      <c r="I196" s="8">
        <f t="shared" ref="I196:I259" si="54">(H196*35%)+H196</f>
        <v>774449.424</v>
      </c>
      <c r="J196" s="8">
        <f t="shared" si="52"/>
        <v>774449.424</v>
      </c>
      <c r="K196" s="8">
        <v>400000</v>
      </c>
      <c r="L196" s="5">
        <v>0</v>
      </c>
      <c r="M196" s="8">
        <v>374449</v>
      </c>
      <c r="N196" s="5">
        <v>0</v>
      </c>
      <c r="O196" s="8">
        <f t="shared" si="47"/>
        <v>-0.42399999999906868</v>
      </c>
    </row>
    <row r="197" spans="1:15" ht="18" customHeight="1">
      <c r="A197" s="5">
        <v>170</v>
      </c>
      <c r="B197" s="5">
        <v>3427</v>
      </c>
      <c r="C197" s="6" t="s">
        <v>457</v>
      </c>
      <c r="D197" s="5">
        <v>14076</v>
      </c>
      <c r="E197" s="7" t="s">
        <v>200</v>
      </c>
      <c r="F197" s="8">
        <v>131849.70000000001</v>
      </c>
      <c r="G197" s="8">
        <v>166.67</v>
      </c>
      <c r="H197" s="8">
        <f t="shared" si="53"/>
        <v>158219.64000000001</v>
      </c>
      <c r="I197" s="8">
        <f t="shared" si="54"/>
        <v>213596.51400000002</v>
      </c>
      <c r="J197" s="38">
        <v>230597</v>
      </c>
      <c r="K197" s="5">
        <v>150000</v>
      </c>
      <c r="L197" s="5">
        <v>0</v>
      </c>
      <c r="M197" s="5">
        <v>0</v>
      </c>
      <c r="N197" s="5">
        <v>80000</v>
      </c>
      <c r="O197" s="8">
        <f t="shared" si="47"/>
        <v>-597</v>
      </c>
    </row>
    <row r="198" spans="1:15" ht="18" customHeight="1">
      <c r="A198" s="5">
        <v>171</v>
      </c>
      <c r="B198" s="5">
        <v>0</v>
      </c>
      <c r="C198" s="29" t="s">
        <v>307</v>
      </c>
      <c r="D198" s="5">
        <v>11025</v>
      </c>
      <c r="E198" s="7" t="s">
        <v>201</v>
      </c>
      <c r="F198" s="8">
        <v>190688.14</v>
      </c>
      <c r="G198" s="8">
        <v>255.65</v>
      </c>
      <c r="H198" s="8">
        <f t="shared" si="53"/>
        <v>228825.76800000004</v>
      </c>
      <c r="I198" s="8">
        <f t="shared" si="54"/>
        <v>308914.78680000006</v>
      </c>
      <c r="J198" s="8">
        <f>+I198</f>
        <v>308914.78680000006</v>
      </c>
      <c r="K198" s="8">
        <v>80000</v>
      </c>
      <c r="L198" s="8">
        <v>150000</v>
      </c>
      <c r="M198" s="5">
        <v>0</v>
      </c>
      <c r="N198" s="8">
        <v>78915</v>
      </c>
      <c r="O198" s="8">
        <f t="shared" si="47"/>
        <v>0.21319999994011596</v>
      </c>
    </row>
    <row r="199" spans="1:15" ht="18" customHeight="1">
      <c r="A199" s="5">
        <v>172</v>
      </c>
      <c r="B199" s="5">
        <v>1911</v>
      </c>
      <c r="C199" s="6" t="s">
        <v>458</v>
      </c>
      <c r="D199" s="5">
        <v>12343</v>
      </c>
      <c r="E199" s="7" t="s">
        <v>202</v>
      </c>
      <c r="F199" s="8">
        <v>92058.54</v>
      </c>
      <c r="G199" s="8">
        <v>126.22</v>
      </c>
      <c r="H199" s="8">
        <f t="shared" si="53"/>
        <v>110470.24799999999</v>
      </c>
      <c r="I199" s="8">
        <f t="shared" si="54"/>
        <v>149134.83479999998</v>
      </c>
      <c r="J199" s="38">
        <v>180000</v>
      </c>
      <c r="K199" s="5">
        <v>100000</v>
      </c>
      <c r="L199" s="5">
        <v>0</v>
      </c>
      <c r="M199" s="5">
        <v>0</v>
      </c>
      <c r="N199" s="5">
        <v>80000</v>
      </c>
      <c r="O199" s="8">
        <f t="shared" si="47"/>
        <v>0</v>
      </c>
    </row>
    <row r="200" spans="1:15" ht="18" customHeight="1">
      <c r="A200" s="5">
        <v>173</v>
      </c>
      <c r="B200" s="5">
        <v>4037</v>
      </c>
      <c r="C200" s="6" t="s">
        <v>381</v>
      </c>
      <c r="D200" s="5">
        <v>13177</v>
      </c>
      <c r="E200" s="7" t="s">
        <v>203</v>
      </c>
      <c r="F200" s="8">
        <v>234715.48</v>
      </c>
      <c r="G200" s="8">
        <v>180.44</v>
      </c>
      <c r="H200" s="8">
        <f t="shared" si="53"/>
        <v>281658.576</v>
      </c>
      <c r="I200" s="8">
        <f t="shared" si="54"/>
        <v>380239.07759999996</v>
      </c>
      <c r="J200" s="38">
        <v>400239</v>
      </c>
      <c r="K200" s="5">
        <v>250000</v>
      </c>
      <c r="L200" s="5">
        <v>0</v>
      </c>
      <c r="M200" s="5">
        <v>0</v>
      </c>
      <c r="N200" s="5">
        <v>150239</v>
      </c>
      <c r="O200" s="8">
        <f t="shared" si="47"/>
        <v>0</v>
      </c>
    </row>
    <row r="201" spans="1:15" ht="18" customHeight="1">
      <c r="A201" s="5">
        <v>174</v>
      </c>
      <c r="B201" s="5">
        <v>1863</v>
      </c>
      <c r="C201" s="6" t="s">
        <v>459</v>
      </c>
      <c r="D201" s="5">
        <v>14713</v>
      </c>
      <c r="E201" s="7" t="s">
        <v>204</v>
      </c>
      <c r="F201" s="8">
        <v>123287.28</v>
      </c>
      <c r="G201" s="8">
        <v>148.04</v>
      </c>
      <c r="H201" s="8">
        <f t="shared" si="53"/>
        <v>147944.73599999998</v>
      </c>
      <c r="I201" s="8">
        <f t="shared" si="54"/>
        <v>199725.39359999995</v>
      </c>
      <c r="J201" s="38">
        <v>220725</v>
      </c>
      <c r="K201" s="5">
        <v>100000</v>
      </c>
      <c r="L201" s="5">
        <v>0</v>
      </c>
      <c r="M201" s="5">
        <v>0</v>
      </c>
      <c r="N201" s="5">
        <v>120000</v>
      </c>
      <c r="O201" s="8">
        <f t="shared" si="47"/>
        <v>-725</v>
      </c>
    </row>
    <row r="202" spans="1:15" ht="18" customHeight="1">
      <c r="A202" s="10" t="s">
        <v>12</v>
      </c>
      <c r="B202" s="11"/>
      <c r="C202" s="12"/>
      <c r="D202" s="11" t="s">
        <v>12</v>
      </c>
      <c r="E202" s="13" t="s">
        <v>205</v>
      </c>
      <c r="F202" s="14">
        <f>SUM(F194:F201)</f>
        <v>2002335.11</v>
      </c>
      <c r="G202" s="14">
        <v>218.63</v>
      </c>
      <c r="H202" s="14">
        <f t="shared" si="53"/>
        <v>2402802.1320000002</v>
      </c>
      <c r="I202" s="14">
        <f t="shared" si="54"/>
        <v>3243782.8782000002</v>
      </c>
      <c r="J202" s="14">
        <f>SUM(J194:J201)</f>
        <v>3332648.0581999999</v>
      </c>
      <c r="K202" s="14">
        <f t="shared" ref="K202:O202" si="55">SUM(K194:K201)</f>
        <v>1780000</v>
      </c>
      <c r="L202" s="14">
        <f t="shared" si="55"/>
        <v>150000</v>
      </c>
      <c r="M202" s="14">
        <f t="shared" si="55"/>
        <v>892171</v>
      </c>
      <c r="N202" s="14">
        <f t="shared" si="55"/>
        <v>509154</v>
      </c>
      <c r="O202" s="14">
        <f t="shared" si="55"/>
        <v>-1323.0581999999122</v>
      </c>
    </row>
    <row r="203" spans="1:15" ht="18" customHeight="1">
      <c r="A203" s="5">
        <v>175</v>
      </c>
      <c r="B203" s="5">
        <v>2107</v>
      </c>
      <c r="C203" s="6" t="s">
        <v>460</v>
      </c>
      <c r="D203" s="5">
        <v>11117</v>
      </c>
      <c r="E203" s="7" t="s">
        <v>206</v>
      </c>
      <c r="F203" s="8">
        <v>346524.77</v>
      </c>
      <c r="G203" s="8">
        <v>241.65</v>
      </c>
      <c r="H203" s="8">
        <f t="shared" si="53"/>
        <v>415829.72399999999</v>
      </c>
      <c r="I203" s="8">
        <f t="shared" si="54"/>
        <v>561370.1274</v>
      </c>
      <c r="J203" s="8">
        <f t="shared" ref="J203:J205" si="56">+I203</f>
        <v>561370.1274</v>
      </c>
      <c r="K203" s="8">
        <v>100000</v>
      </c>
      <c r="L203" s="8">
        <v>150000</v>
      </c>
      <c r="M203" s="8">
        <v>250000</v>
      </c>
      <c r="N203" s="8">
        <v>61370</v>
      </c>
      <c r="O203" s="8">
        <f t="shared" si="47"/>
        <v>-0.12739999999757856</v>
      </c>
    </row>
    <row r="204" spans="1:15" ht="18" customHeight="1">
      <c r="A204" s="5">
        <v>176</v>
      </c>
      <c r="B204" s="5">
        <v>5988</v>
      </c>
      <c r="C204" s="6" t="s">
        <v>461</v>
      </c>
      <c r="D204" s="5">
        <v>11039</v>
      </c>
      <c r="E204" s="7" t="s">
        <v>207</v>
      </c>
      <c r="F204" s="8">
        <v>313796.40000000002</v>
      </c>
      <c r="G204" s="8">
        <v>234.99</v>
      </c>
      <c r="H204" s="8">
        <f t="shared" si="53"/>
        <v>376555.68000000005</v>
      </c>
      <c r="I204" s="8">
        <f t="shared" si="54"/>
        <v>508350.16800000006</v>
      </c>
      <c r="J204" s="8">
        <f t="shared" si="56"/>
        <v>508350.16800000006</v>
      </c>
      <c r="K204" s="8">
        <v>30000</v>
      </c>
      <c r="L204" s="8">
        <v>300000</v>
      </c>
      <c r="M204" s="8">
        <v>150000</v>
      </c>
      <c r="N204" s="8">
        <v>28350</v>
      </c>
      <c r="O204" s="8">
        <f t="shared" si="47"/>
        <v>-0.16800000006332994</v>
      </c>
    </row>
    <row r="205" spans="1:15" ht="18" customHeight="1">
      <c r="A205" s="5">
        <v>177</v>
      </c>
      <c r="B205" s="5">
        <v>7263</v>
      </c>
      <c r="C205" s="6" t="s">
        <v>462</v>
      </c>
      <c r="D205" s="5">
        <v>13634</v>
      </c>
      <c r="E205" s="7" t="s">
        <v>208</v>
      </c>
      <c r="F205" s="8">
        <v>456943.88000000006</v>
      </c>
      <c r="G205" s="8">
        <v>360.36</v>
      </c>
      <c r="H205" s="8">
        <f t="shared" si="53"/>
        <v>548332.65600000008</v>
      </c>
      <c r="I205" s="8">
        <f t="shared" si="54"/>
        <v>740249.08560000011</v>
      </c>
      <c r="J205" s="8">
        <f t="shared" si="56"/>
        <v>740249.08560000011</v>
      </c>
      <c r="K205" s="8">
        <v>100000</v>
      </c>
      <c r="L205" s="8">
        <v>100000</v>
      </c>
      <c r="M205" s="8">
        <v>400000</v>
      </c>
      <c r="N205" s="8">
        <v>140249</v>
      </c>
      <c r="O205" s="8">
        <f t="shared" si="47"/>
        <v>-8.560000010766089E-2</v>
      </c>
    </row>
    <row r="206" spans="1:15" ht="18" customHeight="1">
      <c r="A206" s="5">
        <v>178</v>
      </c>
      <c r="B206" s="5">
        <v>1621</v>
      </c>
      <c r="C206" s="6" t="s">
        <v>463</v>
      </c>
      <c r="D206" s="5">
        <v>12062</v>
      </c>
      <c r="E206" s="7" t="s">
        <v>209</v>
      </c>
      <c r="F206" s="8">
        <v>250112.56999999998</v>
      </c>
      <c r="G206" s="8">
        <v>177.24</v>
      </c>
      <c r="H206" s="8">
        <f t="shared" si="53"/>
        <v>300135.08399999997</v>
      </c>
      <c r="I206" s="8">
        <f t="shared" si="54"/>
        <v>405182.36339999997</v>
      </c>
      <c r="J206" s="38">
        <v>455000</v>
      </c>
      <c r="K206" s="5">
        <v>10000</v>
      </c>
      <c r="L206" s="5">
        <v>10000</v>
      </c>
      <c r="M206" s="5">
        <v>425000</v>
      </c>
      <c r="N206" s="5">
        <v>10000</v>
      </c>
      <c r="O206" s="8">
        <f t="shared" si="47"/>
        <v>0</v>
      </c>
    </row>
    <row r="207" spans="1:15" ht="18" customHeight="1">
      <c r="A207" s="5">
        <v>179</v>
      </c>
      <c r="B207" s="5">
        <v>2025</v>
      </c>
      <c r="C207" s="6" t="s">
        <v>464</v>
      </c>
      <c r="D207" s="5">
        <v>12581</v>
      </c>
      <c r="E207" s="7" t="s">
        <v>210</v>
      </c>
      <c r="F207" s="8">
        <v>264220.07</v>
      </c>
      <c r="G207" s="8">
        <v>192.49</v>
      </c>
      <c r="H207" s="8">
        <f t="shared" si="53"/>
        <v>317064.08400000003</v>
      </c>
      <c r="I207" s="8">
        <f t="shared" si="54"/>
        <v>428036.51340000005</v>
      </c>
      <c r="J207" s="38">
        <v>470000</v>
      </c>
      <c r="K207" s="5">
        <v>10000</v>
      </c>
      <c r="L207" s="5">
        <v>20000</v>
      </c>
      <c r="M207" s="5">
        <v>430000</v>
      </c>
      <c r="N207" s="5">
        <v>10000</v>
      </c>
      <c r="O207" s="8">
        <f t="shared" si="47"/>
        <v>0</v>
      </c>
    </row>
    <row r="208" spans="1:15" ht="18" customHeight="1">
      <c r="A208" s="5">
        <v>180</v>
      </c>
      <c r="B208" s="5">
        <v>5868</v>
      </c>
      <c r="C208" s="6" t="s">
        <v>465</v>
      </c>
      <c r="D208" s="5">
        <v>13236</v>
      </c>
      <c r="E208" s="7" t="s">
        <v>211</v>
      </c>
      <c r="F208" s="8">
        <v>244497.44</v>
      </c>
      <c r="G208" s="8">
        <v>182.23</v>
      </c>
      <c r="H208" s="8">
        <f t="shared" si="53"/>
        <v>293396.92799999996</v>
      </c>
      <c r="I208" s="8">
        <f t="shared" si="54"/>
        <v>396085.85279999994</v>
      </c>
      <c r="J208" s="38">
        <v>450000</v>
      </c>
      <c r="K208" s="5">
        <v>10000</v>
      </c>
      <c r="L208" s="5">
        <v>10000</v>
      </c>
      <c r="M208" s="5">
        <v>420000</v>
      </c>
      <c r="N208" s="5">
        <v>10000</v>
      </c>
      <c r="O208" s="8">
        <f t="shared" si="47"/>
        <v>0</v>
      </c>
    </row>
    <row r="209" spans="1:15" ht="18" customHeight="1">
      <c r="A209" s="5">
        <v>181</v>
      </c>
      <c r="B209" s="5">
        <v>5612</v>
      </c>
      <c r="C209" s="6" t="s">
        <v>466</v>
      </c>
      <c r="D209" s="5">
        <v>11123</v>
      </c>
      <c r="E209" s="7" t="s">
        <v>212</v>
      </c>
      <c r="F209" s="8">
        <v>274403.49</v>
      </c>
      <c r="G209" s="8">
        <v>191.38</v>
      </c>
      <c r="H209" s="8">
        <f t="shared" si="53"/>
        <v>329284.18799999997</v>
      </c>
      <c r="I209" s="8">
        <f t="shared" si="54"/>
        <v>444533.65379999997</v>
      </c>
      <c r="J209" s="38">
        <v>475000</v>
      </c>
      <c r="K209" s="5">
        <v>100000</v>
      </c>
      <c r="L209" s="5">
        <v>100000</v>
      </c>
      <c r="M209" s="5">
        <v>175000</v>
      </c>
      <c r="N209" s="5">
        <v>100000</v>
      </c>
      <c r="O209" s="8">
        <f t="shared" si="47"/>
        <v>0</v>
      </c>
    </row>
    <row r="210" spans="1:15" ht="18" customHeight="1">
      <c r="A210" s="5">
        <v>182</v>
      </c>
      <c r="B210" s="5">
        <v>6049</v>
      </c>
      <c r="C210" s="6" t="s">
        <v>467</v>
      </c>
      <c r="D210" s="5">
        <v>11008</v>
      </c>
      <c r="E210" s="7" t="s">
        <v>213</v>
      </c>
      <c r="F210" s="8">
        <v>303434.45</v>
      </c>
      <c r="G210" s="8">
        <v>269.47000000000003</v>
      </c>
      <c r="H210" s="8">
        <f t="shared" si="53"/>
        <v>364121.33999999997</v>
      </c>
      <c r="I210" s="8">
        <f t="shared" si="54"/>
        <v>491563.80899999995</v>
      </c>
      <c r="J210" s="8">
        <f>+I210</f>
        <v>491563.80899999995</v>
      </c>
      <c r="K210" s="8">
        <v>80000</v>
      </c>
      <c r="L210" s="8">
        <v>150000</v>
      </c>
      <c r="M210" s="8">
        <v>150000</v>
      </c>
      <c r="N210" s="8">
        <v>111564</v>
      </c>
      <c r="O210" s="8">
        <f t="shared" si="47"/>
        <v>0.19100000004982576</v>
      </c>
    </row>
    <row r="211" spans="1:15" ht="18" customHeight="1">
      <c r="A211" s="10" t="s">
        <v>12</v>
      </c>
      <c r="B211" s="11"/>
      <c r="C211" s="12"/>
      <c r="D211" s="11" t="s">
        <v>12</v>
      </c>
      <c r="E211" s="13" t="s">
        <v>214</v>
      </c>
      <c r="F211" s="14">
        <f>SUM(F203:F210)</f>
        <v>2453933.0700000003</v>
      </c>
      <c r="G211" s="14">
        <v>228.82</v>
      </c>
      <c r="H211" s="14">
        <f t="shared" si="53"/>
        <v>2944719.6840000004</v>
      </c>
      <c r="I211" s="14">
        <f t="shared" si="54"/>
        <v>3975371.5734000006</v>
      </c>
      <c r="J211" s="14">
        <f>SUM(J203:J210)</f>
        <v>4151533.19</v>
      </c>
      <c r="K211" s="14">
        <f t="shared" ref="K211:O211" si="57">SUM(K203:K210)</f>
        <v>440000</v>
      </c>
      <c r="L211" s="14">
        <f t="shared" si="57"/>
        <v>840000</v>
      </c>
      <c r="M211" s="14">
        <f t="shared" si="57"/>
        <v>2400000</v>
      </c>
      <c r="N211" s="14">
        <f t="shared" si="57"/>
        <v>471533</v>
      </c>
      <c r="O211" s="14">
        <f t="shared" si="57"/>
        <v>-0.19000000011874363</v>
      </c>
    </row>
    <row r="212" spans="1:15" ht="18" customHeight="1">
      <c r="A212" s="5">
        <v>183</v>
      </c>
      <c r="B212" s="5">
        <v>7140</v>
      </c>
      <c r="C212" s="6" t="s">
        <v>468</v>
      </c>
      <c r="D212" s="5">
        <v>11037</v>
      </c>
      <c r="E212" s="7" t="s">
        <v>215</v>
      </c>
      <c r="F212" s="8">
        <v>302768.43999999994</v>
      </c>
      <c r="G212" s="8">
        <v>263</v>
      </c>
      <c r="H212" s="8">
        <f t="shared" si="53"/>
        <v>363322.12799999991</v>
      </c>
      <c r="I212" s="8">
        <f t="shared" si="54"/>
        <v>490484.8727999999</v>
      </c>
      <c r="J212" s="8">
        <v>490484.8727999999</v>
      </c>
      <c r="K212" s="8">
        <v>15485</v>
      </c>
      <c r="L212" s="5">
        <v>25000</v>
      </c>
      <c r="M212" s="5">
        <v>380000</v>
      </c>
      <c r="N212" s="5">
        <v>70000</v>
      </c>
      <c r="O212" s="8">
        <f t="shared" si="47"/>
        <v>0.12720000010449439</v>
      </c>
    </row>
    <row r="213" spans="1:15" ht="18" customHeight="1">
      <c r="A213" s="5">
        <v>184</v>
      </c>
      <c r="B213" s="5">
        <v>4158</v>
      </c>
      <c r="C213" s="6" t="s">
        <v>469</v>
      </c>
      <c r="D213" s="5">
        <v>11035</v>
      </c>
      <c r="E213" s="7" t="s">
        <v>216</v>
      </c>
      <c r="F213" s="8">
        <v>525087.81000000006</v>
      </c>
      <c r="G213" s="8">
        <v>353.93</v>
      </c>
      <c r="H213" s="8">
        <f t="shared" si="53"/>
        <v>630105.37199999997</v>
      </c>
      <c r="I213" s="8">
        <f t="shared" si="54"/>
        <v>850642.25219999999</v>
      </c>
      <c r="J213" s="8">
        <v>850642.25219999999</v>
      </c>
      <c r="K213" s="8">
        <v>10000</v>
      </c>
      <c r="L213" s="5">
        <v>250000</v>
      </c>
      <c r="M213" s="5">
        <v>580642</v>
      </c>
      <c r="N213" s="5">
        <v>10000</v>
      </c>
      <c r="O213" s="8">
        <f t="shared" si="47"/>
        <v>-0.25219999998807907</v>
      </c>
    </row>
    <row r="214" spans="1:15" ht="18" customHeight="1">
      <c r="A214" s="5">
        <v>185</v>
      </c>
      <c r="B214" s="5">
        <v>8725</v>
      </c>
      <c r="C214" s="6" t="s">
        <v>470</v>
      </c>
      <c r="D214" s="5">
        <v>11034</v>
      </c>
      <c r="E214" s="7" t="s">
        <v>217</v>
      </c>
      <c r="F214" s="8">
        <v>365291.98</v>
      </c>
      <c r="G214" s="8">
        <v>237.9</v>
      </c>
      <c r="H214" s="8">
        <f t="shared" si="53"/>
        <v>438350.37599999993</v>
      </c>
      <c r="I214" s="8">
        <f t="shared" si="54"/>
        <v>591773.0075999999</v>
      </c>
      <c r="J214" s="8">
        <v>591773.0075999999</v>
      </c>
      <c r="K214" s="8">
        <v>10000</v>
      </c>
      <c r="L214" s="5">
        <v>250000</v>
      </c>
      <c r="M214" s="5">
        <v>321773</v>
      </c>
      <c r="N214" s="5">
        <v>10000</v>
      </c>
      <c r="O214" s="8">
        <f t="shared" si="47"/>
        <v>-7.5999998953193426E-3</v>
      </c>
    </row>
    <row r="215" spans="1:15" ht="18" customHeight="1">
      <c r="A215" s="5">
        <v>186</v>
      </c>
      <c r="B215" s="5">
        <v>7141</v>
      </c>
      <c r="C215" s="6" t="s">
        <v>471</v>
      </c>
      <c r="D215" s="5">
        <v>11005</v>
      </c>
      <c r="E215" s="7" t="s">
        <v>218</v>
      </c>
      <c r="F215" s="8">
        <v>387757.69999999995</v>
      </c>
      <c r="G215" s="8">
        <v>307.39999999999998</v>
      </c>
      <c r="H215" s="8">
        <f t="shared" si="53"/>
        <v>465309.24</v>
      </c>
      <c r="I215" s="8">
        <f t="shared" si="54"/>
        <v>628167.47399999993</v>
      </c>
      <c r="J215" s="8">
        <v>628167.47399999993</v>
      </c>
      <c r="K215" s="8">
        <v>80000</v>
      </c>
      <c r="L215" s="5">
        <v>80000</v>
      </c>
      <c r="M215" s="5">
        <v>400000</v>
      </c>
      <c r="N215" s="5">
        <v>68167</v>
      </c>
      <c r="O215" s="8">
        <f t="shared" si="47"/>
        <v>-0.47399999992921948</v>
      </c>
    </row>
    <row r="216" spans="1:15" ht="18" customHeight="1">
      <c r="A216" s="5">
        <v>187</v>
      </c>
      <c r="B216" s="5">
        <v>6163</v>
      </c>
      <c r="C216" s="6" t="s">
        <v>472</v>
      </c>
      <c r="D216" s="5">
        <v>11011</v>
      </c>
      <c r="E216" s="7" t="s">
        <v>219</v>
      </c>
      <c r="F216" s="8">
        <v>438976.31999999995</v>
      </c>
      <c r="G216" s="8">
        <v>356.32</v>
      </c>
      <c r="H216" s="8">
        <f t="shared" si="53"/>
        <v>526771.58400000003</v>
      </c>
      <c r="I216" s="8">
        <f t="shared" si="54"/>
        <v>711141.63840000005</v>
      </c>
      <c r="J216" s="8">
        <v>711141.63840000005</v>
      </c>
      <c r="K216" s="8">
        <v>40000</v>
      </c>
      <c r="L216" s="5">
        <v>60000</v>
      </c>
      <c r="M216" s="5">
        <v>600000</v>
      </c>
      <c r="N216" s="5">
        <v>11142</v>
      </c>
      <c r="O216" s="8">
        <f t="shared" si="47"/>
        <v>0.36159999994561076</v>
      </c>
    </row>
    <row r="217" spans="1:15" ht="18" customHeight="1">
      <c r="A217" s="5">
        <v>188</v>
      </c>
      <c r="B217" s="5">
        <v>2989</v>
      </c>
      <c r="C217" s="6" t="s">
        <v>473</v>
      </c>
      <c r="D217" s="5">
        <v>13237</v>
      </c>
      <c r="E217" s="7" t="s">
        <v>220</v>
      </c>
      <c r="F217" s="8">
        <v>169265.19</v>
      </c>
      <c r="G217" s="8">
        <v>135.05000000000001</v>
      </c>
      <c r="H217" s="8">
        <f t="shared" si="53"/>
        <v>203118.228</v>
      </c>
      <c r="I217" s="8">
        <f t="shared" si="54"/>
        <v>274209.6078</v>
      </c>
      <c r="J217" s="37">
        <v>310000</v>
      </c>
      <c r="K217" s="8">
        <v>40000</v>
      </c>
      <c r="L217" s="8">
        <v>100000</v>
      </c>
      <c r="M217" s="5">
        <v>156000</v>
      </c>
      <c r="N217" s="5">
        <v>14000</v>
      </c>
      <c r="O217" s="8">
        <f t="shared" si="47"/>
        <v>0</v>
      </c>
    </row>
    <row r="218" spans="1:15" ht="18" customHeight="1">
      <c r="A218" s="5">
        <v>189</v>
      </c>
      <c r="B218" s="5">
        <v>7733</v>
      </c>
      <c r="C218" s="6" t="s">
        <v>474</v>
      </c>
      <c r="D218" s="5">
        <v>14630</v>
      </c>
      <c r="E218" s="7" t="s">
        <v>221</v>
      </c>
      <c r="F218" s="8">
        <v>335752.12</v>
      </c>
      <c r="G218" s="8">
        <v>299.7</v>
      </c>
      <c r="H218" s="8">
        <f t="shared" si="53"/>
        <v>402902.54399999999</v>
      </c>
      <c r="I218" s="8">
        <f t="shared" si="54"/>
        <v>543918.43439999991</v>
      </c>
      <c r="J218" s="8">
        <v>543918.43439999991</v>
      </c>
      <c r="K218" s="8">
        <v>35000</v>
      </c>
      <c r="L218" s="5">
        <v>35000</v>
      </c>
      <c r="M218" s="5">
        <v>400000</v>
      </c>
      <c r="N218" s="5">
        <v>73918</v>
      </c>
      <c r="O218" s="8">
        <f t="shared" si="47"/>
        <v>-0.43439999991096556</v>
      </c>
    </row>
    <row r="219" spans="1:15" ht="18" customHeight="1">
      <c r="A219" s="10" t="s">
        <v>12</v>
      </c>
      <c r="B219" s="11"/>
      <c r="C219" s="12"/>
      <c r="D219" s="11" t="s">
        <v>12</v>
      </c>
      <c r="E219" s="13" t="s">
        <v>222</v>
      </c>
      <c r="F219" s="14">
        <f>SUM(F212:F218)</f>
        <v>2524899.56</v>
      </c>
      <c r="G219" s="14">
        <v>279.37</v>
      </c>
      <c r="H219" s="14">
        <f t="shared" si="53"/>
        <v>3029879.4720000001</v>
      </c>
      <c r="I219" s="14">
        <f t="shared" si="54"/>
        <v>4090337.2872000001</v>
      </c>
      <c r="J219" s="14">
        <f>SUM(J212:J218)</f>
        <v>4126127.6793999998</v>
      </c>
      <c r="K219" s="14">
        <f t="shared" ref="K219:O219" si="58">SUM(K212:K218)</f>
        <v>230485</v>
      </c>
      <c r="L219" s="14">
        <f t="shared" si="58"/>
        <v>800000</v>
      </c>
      <c r="M219" s="14">
        <f t="shared" si="58"/>
        <v>2838415</v>
      </c>
      <c r="N219" s="14">
        <f t="shared" si="58"/>
        <v>257227</v>
      </c>
      <c r="O219" s="14">
        <f t="shared" si="58"/>
        <v>-0.67939999967347831</v>
      </c>
    </row>
    <row r="220" spans="1:15" ht="18" customHeight="1">
      <c r="A220" s="5">
        <v>190</v>
      </c>
      <c r="B220" s="5">
        <v>5989</v>
      </c>
      <c r="C220" s="6" t="s">
        <v>475</v>
      </c>
      <c r="D220" s="5">
        <v>12549</v>
      </c>
      <c r="E220" s="7" t="s">
        <v>223</v>
      </c>
      <c r="F220" s="8">
        <v>400716</v>
      </c>
      <c r="G220" s="8">
        <v>290.41000000000003</v>
      </c>
      <c r="H220" s="8">
        <f t="shared" si="53"/>
        <v>480859.19999999995</v>
      </c>
      <c r="I220" s="8">
        <f t="shared" si="54"/>
        <v>649159.91999999993</v>
      </c>
      <c r="J220" s="8">
        <f t="shared" ref="J220:J227" si="59">+I220</f>
        <v>649159.91999999993</v>
      </c>
      <c r="K220" s="8">
        <v>20000</v>
      </c>
      <c r="L220" s="8">
        <v>20000</v>
      </c>
      <c r="M220" s="8">
        <v>550000</v>
      </c>
      <c r="N220" s="8">
        <v>60000</v>
      </c>
      <c r="O220" s="8">
        <f t="shared" si="47"/>
        <v>840.08000000007451</v>
      </c>
    </row>
    <row r="221" spans="1:15" ht="18" customHeight="1">
      <c r="A221" s="5">
        <v>191</v>
      </c>
      <c r="B221" s="5">
        <v>7035</v>
      </c>
      <c r="C221" s="6" t="s">
        <v>367</v>
      </c>
      <c r="D221" s="5">
        <v>11112</v>
      </c>
      <c r="E221" s="7" t="s">
        <v>224</v>
      </c>
      <c r="F221" s="8">
        <v>346696.11</v>
      </c>
      <c r="G221" s="8">
        <v>321.08</v>
      </c>
      <c r="H221" s="8">
        <f t="shared" si="53"/>
        <v>416035.33199999994</v>
      </c>
      <c r="I221" s="8">
        <f t="shared" si="54"/>
        <v>561647.69819999987</v>
      </c>
      <c r="J221" s="8">
        <f t="shared" si="59"/>
        <v>561647.69819999987</v>
      </c>
      <c r="K221" s="8">
        <v>50000</v>
      </c>
      <c r="L221" s="8">
        <v>50000</v>
      </c>
      <c r="M221" s="8">
        <v>400000</v>
      </c>
      <c r="N221" s="8">
        <v>61648</v>
      </c>
      <c r="O221" s="8">
        <f t="shared" si="47"/>
        <v>0.30180000013206154</v>
      </c>
    </row>
    <row r="222" spans="1:15" ht="18" customHeight="1">
      <c r="A222" s="5">
        <v>192</v>
      </c>
      <c r="B222" s="5">
        <v>3732</v>
      </c>
      <c r="C222" s="6" t="s">
        <v>476</v>
      </c>
      <c r="D222" s="5">
        <v>11009</v>
      </c>
      <c r="E222" s="7" t="s">
        <v>225</v>
      </c>
      <c r="F222" s="8">
        <v>330167.74</v>
      </c>
      <c r="G222" s="8">
        <v>306.92</v>
      </c>
      <c r="H222" s="8">
        <f t="shared" si="53"/>
        <v>396201.28799999994</v>
      </c>
      <c r="I222" s="8">
        <f t="shared" si="54"/>
        <v>534871.73879999993</v>
      </c>
      <c r="J222" s="8">
        <f t="shared" si="59"/>
        <v>534871.73879999993</v>
      </c>
      <c r="K222" s="8">
        <v>50000</v>
      </c>
      <c r="L222" s="8">
        <v>50000</v>
      </c>
      <c r="M222" s="8">
        <v>380000</v>
      </c>
      <c r="N222" s="8">
        <v>54872</v>
      </c>
      <c r="O222" s="8">
        <f t="shared" si="47"/>
        <v>0.26120000006631017</v>
      </c>
    </row>
    <row r="223" spans="1:15" ht="18" customHeight="1">
      <c r="A223" s="5">
        <v>193</v>
      </c>
      <c r="B223" s="5">
        <v>8290</v>
      </c>
      <c r="C223" s="6" t="s">
        <v>477</v>
      </c>
      <c r="D223" s="5">
        <v>11004</v>
      </c>
      <c r="E223" s="7" t="s">
        <v>226</v>
      </c>
      <c r="F223" s="8">
        <v>204086.76</v>
      </c>
      <c r="G223" s="8">
        <v>225.41</v>
      </c>
      <c r="H223" s="8">
        <f t="shared" si="53"/>
        <v>244904.11199999999</v>
      </c>
      <c r="I223" s="8">
        <f t="shared" si="54"/>
        <v>330620.55119999999</v>
      </c>
      <c r="J223" s="8">
        <f t="shared" si="59"/>
        <v>330620.55119999999</v>
      </c>
      <c r="K223" s="8">
        <v>14000</v>
      </c>
      <c r="L223" s="8">
        <v>35000</v>
      </c>
      <c r="M223" s="8">
        <v>272000</v>
      </c>
      <c r="N223" s="8">
        <v>10000</v>
      </c>
      <c r="O223" s="8">
        <f t="shared" si="47"/>
        <v>379.44880000001285</v>
      </c>
    </row>
    <row r="224" spans="1:15" ht="18" customHeight="1">
      <c r="A224" s="5">
        <v>194</v>
      </c>
      <c r="B224" s="5">
        <v>1440</v>
      </c>
      <c r="C224" s="6" t="s">
        <v>478</v>
      </c>
      <c r="D224" s="5">
        <v>11010</v>
      </c>
      <c r="E224" s="7" t="s">
        <v>227</v>
      </c>
      <c r="F224" s="8">
        <v>370258.26999999996</v>
      </c>
      <c r="G224" s="8">
        <v>348.24</v>
      </c>
      <c r="H224" s="8">
        <f t="shared" si="53"/>
        <v>444309.924</v>
      </c>
      <c r="I224" s="8">
        <f t="shared" si="54"/>
        <v>599818.39740000002</v>
      </c>
      <c r="J224" s="8">
        <f t="shared" si="59"/>
        <v>599818.39740000002</v>
      </c>
      <c r="K224" s="8">
        <v>20000</v>
      </c>
      <c r="L224" s="8">
        <v>39818</v>
      </c>
      <c r="M224" s="8">
        <v>530000</v>
      </c>
      <c r="N224" s="8">
        <v>10000</v>
      </c>
      <c r="O224" s="8">
        <f t="shared" si="47"/>
        <v>-0.39740000001620501</v>
      </c>
    </row>
    <row r="225" spans="1:15" ht="18" customHeight="1">
      <c r="A225" s="5">
        <v>195</v>
      </c>
      <c r="B225" s="5">
        <v>6380</v>
      </c>
      <c r="C225" s="6" t="s">
        <v>479</v>
      </c>
      <c r="D225" s="5">
        <v>13175</v>
      </c>
      <c r="E225" s="7" t="s">
        <v>228</v>
      </c>
      <c r="F225" s="8">
        <v>360720.49</v>
      </c>
      <c r="G225" s="8">
        <v>372.11</v>
      </c>
      <c r="H225" s="8">
        <f t="shared" si="53"/>
        <v>432864.58799999999</v>
      </c>
      <c r="I225" s="8">
        <f t="shared" si="54"/>
        <v>584367.19380000001</v>
      </c>
      <c r="J225" s="8">
        <f t="shared" si="59"/>
        <v>584367.19380000001</v>
      </c>
      <c r="K225" s="8">
        <v>45000</v>
      </c>
      <c r="L225" s="8">
        <v>65000</v>
      </c>
      <c r="M225" s="8">
        <v>450000</v>
      </c>
      <c r="N225" s="8">
        <v>24367</v>
      </c>
      <c r="O225" s="8">
        <f t="shared" si="47"/>
        <v>-0.19380000000819564</v>
      </c>
    </row>
    <row r="226" spans="1:15" ht="18" customHeight="1">
      <c r="A226" s="5">
        <v>196</v>
      </c>
      <c r="B226" s="5">
        <v>6956</v>
      </c>
      <c r="C226" s="6" t="s">
        <v>480</v>
      </c>
      <c r="D226" s="5">
        <v>11116</v>
      </c>
      <c r="E226" s="7" t="s">
        <v>229</v>
      </c>
      <c r="F226" s="8">
        <v>323331.53000000003</v>
      </c>
      <c r="G226" s="8">
        <v>314.33</v>
      </c>
      <c r="H226" s="8">
        <f t="shared" si="53"/>
        <v>387997.83600000001</v>
      </c>
      <c r="I226" s="8">
        <f t="shared" si="54"/>
        <v>523797.07860000001</v>
      </c>
      <c r="J226" s="8">
        <f t="shared" si="59"/>
        <v>523797.07860000001</v>
      </c>
      <c r="K226" s="8">
        <v>30000</v>
      </c>
      <c r="L226" s="8">
        <v>30000</v>
      </c>
      <c r="M226" s="8">
        <v>440000</v>
      </c>
      <c r="N226" s="8">
        <v>24000</v>
      </c>
      <c r="O226" s="8">
        <f t="shared" si="47"/>
        <v>202.92139999999199</v>
      </c>
    </row>
    <row r="227" spans="1:15" ht="18" customHeight="1">
      <c r="A227" s="5">
        <v>197</v>
      </c>
      <c r="B227" s="5">
        <v>8403</v>
      </c>
      <c r="C227" s="6" t="s">
        <v>298</v>
      </c>
      <c r="D227" s="5">
        <v>14641</v>
      </c>
      <c r="E227" s="7" t="s">
        <v>230</v>
      </c>
      <c r="F227" s="8">
        <v>255570.96000000002</v>
      </c>
      <c r="G227" s="8">
        <v>239.15</v>
      </c>
      <c r="H227" s="8">
        <f t="shared" si="53"/>
        <v>306685.152</v>
      </c>
      <c r="I227" s="8">
        <f t="shared" si="54"/>
        <v>414024.95519999997</v>
      </c>
      <c r="J227" s="8">
        <f t="shared" si="59"/>
        <v>414024.95519999997</v>
      </c>
      <c r="K227" s="8">
        <v>34025</v>
      </c>
      <c r="L227" s="8">
        <v>50000</v>
      </c>
      <c r="M227" s="8">
        <v>250000</v>
      </c>
      <c r="N227" s="8">
        <v>80000</v>
      </c>
      <c r="O227" s="8">
        <f t="shared" si="47"/>
        <v>4.4800000032410026E-2</v>
      </c>
    </row>
    <row r="228" spans="1:15" ht="18" customHeight="1">
      <c r="A228" s="10" t="s">
        <v>12</v>
      </c>
      <c r="B228" s="11"/>
      <c r="C228" s="12"/>
      <c r="D228" s="11" t="s">
        <v>12</v>
      </c>
      <c r="E228" s="13" t="s">
        <v>231</v>
      </c>
      <c r="F228" s="14">
        <f>SUM(F220:F227)</f>
        <v>2591547.8600000003</v>
      </c>
      <c r="G228" s="14">
        <v>302.86</v>
      </c>
      <c r="H228" s="14">
        <f t="shared" si="53"/>
        <v>3109857.432</v>
      </c>
      <c r="I228" s="14">
        <f t="shared" si="54"/>
        <v>4198307.5331999995</v>
      </c>
      <c r="J228" s="14">
        <f>SUM(J220:J227)</f>
        <v>4198307.5332000004</v>
      </c>
      <c r="K228" s="14">
        <f t="shared" ref="K228:O228" si="60">SUM(K220:K227)</f>
        <v>263025</v>
      </c>
      <c r="L228" s="14">
        <f t="shared" si="60"/>
        <v>339818</v>
      </c>
      <c r="M228" s="14">
        <f t="shared" si="60"/>
        <v>3272000</v>
      </c>
      <c r="N228" s="14">
        <f t="shared" si="60"/>
        <v>324887</v>
      </c>
      <c r="O228" s="14">
        <f t="shared" si="60"/>
        <v>1422.4668000002857</v>
      </c>
    </row>
    <row r="229" spans="1:15" ht="18" customHeight="1">
      <c r="A229" s="16" t="s">
        <v>12</v>
      </c>
      <c r="B229" s="16"/>
      <c r="C229" s="17"/>
      <c r="D229" s="16" t="s">
        <v>12</v>
      </c>
      <c r="E229" s="18" t="s">
        <v>232</v>
      </c>
      <c r="F229" s="19">
        <f>F228+F219+F211+F202+F193+F184</f>
        <v>15451968.51</v>
      </c>
      <c r="G229" s="19">
        <v>259.17</v>
      </c>
      <c r="H229" s="19">
        <f t="shared" si="53"/>
        <v>18542362.212000001</v>
      </c>
      <c r="I229" s="19">
        <f t="shared" si="54"/>
        <v>25032188.986200001</v>
      </c>
      <c r="J229" s="19">
        <f>J228+J219+J211+J202+J193+J184</f>
        <v>25452998.574599996</v>
      </c>
      <c r="K229" s="19">
        <f t="shared" ref="K229:O229" si="61">K228+K219+K211+K202+K193+K184</f>
        <v>6427830</v>
      </c>
      <c r="L229" s="19">
        <f t="shared" si="61"/>
        <v>3479818</v>
      </c>
      <c r="M229" s="19">
        <f t="shared" si="61"/>
        <v>13753026</v>
      </c>
      <c r="N229" s="19">
        <f t="shared" si="61"/>
        <v>1795301</v>
      </c>
      <c r="O229" s="19">
        <f t="shared" si="61"/>
        <v>2976.4254000011715</v>
      </c>
    </row>
    <row r="230" spans="1:15" ht="18" customHeight="1">
      <c r="A230" s="5">
        <v>198</v>
      </c>
      <c r="B230" s="5">
        <v>5615</v>
      </c>
      <c r="C230" s="6" t="s">
        <v>481</v>
      </c>
      <c r="D230" s="5">
        <v>11070</v>
      </c>
      <c r="E230" s="7" t="s">
        <v>233</v>
      </c>
      <c r="F230" s="8">
        <v>488835.03</v>
      </c>
      <c r="G230" s="8">
        <v>260.5</v>
      </c>
      <c r="H230" s="8">
        <f t="shared" si="53"/>
        <v>586602.03600000008</v>
      </c>
      <c r="I230" s="8">
        <f t="shared" si="54"/>
        <v>791912.74860000005</v>
      </c>
      <c r="J230" s="8">
        <f t="shared" ref="J230:J231" si="62">+I230</f>
        <v>791912.74860000005</v>
      </c>
      <c r="K230" s="8">
        <v>110000</v>
      </c>
      <c r="L230" s="8">
        <v>200000</v>
      </c>
      <c r="M230" s="8">
        <v>400013</v>
      </c>
      <c r="N230" s="8">
        <v>81900</v>
      </c>
      <c r="O230" s="8">
        <f t="shared" ref="O230:O287" si="63">(K230+L230+M230+N230)-J230</f>
        <v>0.25139999995008111</v>
      </c>
    </row>
    <row r="231" spans="1:15" ht="18" customHeight="1">
      <c r="A231" s="5">
        <v>199</v>
      </c>
      <c r="B231" s="5">
        <v>8735</v>
      </c>
      <c r="C231" s="6" t="s">
        <v>482</v>
      </c>
      <c r="D231" s="5">
        <v>11065</v>
      </c>
      <c r="E231" s="7" t="s">
        <v>234</v>
      </c>
      <c r="F231" s="8">
        <v>481394.43000000005</v>
      </c>
      <c r="G231" s="8">
        <v>249.77</v>
      </c>
      <c r="H231" s="8">
        <f t="shared" si="53"/>
        <v>577673.31600000011</v>
      </c>
      <c r="I231" s="8">
        <f t="shared" si="54"/>
        <v>779858.97660000017</v>
      </c>
      <c r="J231" s="8">
        <f t="shared" si="62"/>
        <v>779858.97660000017</v>
      </c>
      <c r="K231" s="8">
        <v>150000</v>
      </c>
      <c r="L231" s="8">
        <v>250000</v>
      </c>
      <c r="M231" s="8">
        <v>200000</v>
      </c>
      <c r="N231" s="8">
        <v>179859</v>
      </c>
      <c r="O231" s="8">
        <f t="shared" si="63"/>
        <v>2.339999983087182E-2</v>
      </c>
    </row>
    <row r="232" spans="1:15" ht="18" customHeight="1">
      <c r="A232" s="5">
        <v>200</v>
      </c>
      <c r="B232" s="5">
        <v>5973</v>
      </c>
      <c r="C232" s="6" t="s">
        <v>483</v>
      </c>
      <c r="D232" s="5">
        <v>11068</v>
      </c>
      <c r="E232" s="7" t="s">
        <v>235</v>
      </c>
      <c r="F232" s="8">
        <v>381428.47999999998</v>
      </c>
      <c r="G232" s="8">
        <v>191.84</v>
      </c>
      <c r="H232" s="8">
        <f t="shared" si="53"/>
        <v>457714.17599999998</v>
      </c>
      <c r="I232" s="8">
        <f t="shared" si="54"/>
        <v>617914.13760000002</v>
      </c>
      <c r="J232" s="5">
        <v>686571</v>
      </c>
      <c r="K232" s="5">
        <v>200000</v>
      </c>
      <c r="L232" s="5">
        <v>200000</v>
      </c>
      <c r="M232" s="5">
        <v>150571</v>
      </c>
      <c r="N232" s="5">
        <v>136000</v>
      </c>
      <c r="O232" s="8">
        <f t="shared" si="63"/>
        <v>0</v>
      </c>
    </row>
    <row r="233" spans="1:15" ht="18" customHeight="1">
      <c r="A233" s="5">
        <v>201</v>
      </c>
      <c r="B233" s="5">
        <v>2265</v>
      </c>
      <c r="C233" s="6" t="s">
        <v>484</v>
      </c>
      <c r="D233" s="5">
        <v>11069</v>
      </c>
      <c r="E233" s="7" t="s">
        <v>236</v>
      </c>
      <c r="F233" s="8">
        <v>300694.8</v>
      </c>
      <c r="G233" s="8">
        <v>244.38</v>
      </c>
      <c r="H233" s="8">
        <f t="shared" si="53"/>
        <v>360833.76</v>
      </c>
      <c r="I233" s="8">
        <f t="shared" si="54"/>
        <v>487125.576</v>
      </c>
      <c r="J233" s="8">
        <f t="shared" ref="J233:J236" si="64">+I233</f>
        <v>487125.576</v>
      </c>
      <c r="K233" s="8">
        <v>0</v>
      </c>
      <c r="L233" s="8">
        <v>400000</v>
      </c>
      <c r="M233" s="8">
        <v>0</v>
      </c>
      <c r="N233" s="8">
        <v>87126</v>
      </c>
      <c r="O233" s="8">
        <f t="shared" si="63"/>
        <v>0.42399999999906868</v>
      </c>
    </row>
    <row r="234" spans="1:15" ht="18" customHeight="1">
      <c r="A234" s="5">
        <v>202</v>
      </c>
      <c r="B234" s="5">
        <v>5333</v>
      </c>
      <c r="C234" s="6" t="s">
        <v>485</v>
      </c>
      <c r="D234" s="5">
        <v>12554</v>
      </c>
      <c r="E234" s="7" t="s">
        <v>237</v>
      </c>
      <c r="F234" s="8">
        <v>485536.19</v>
      </c>
      <c r="G234" s="8">
        <v>249.74</v>
      </c>
      <c r="H234" s="8">
        <f t="shared" si="53"/>
        <v>582643.42799999996</v>
      </c>
      <c r="I234" s="8">
        <f t="shared" si="54"/>
        <v>786568.6277999999</v>
      </c>
      <c r="J234" s="8">
        <f t="shared" si="64"/>
        <v>786568.6277999999</v>
      </c>
      <c r="K234" s="8">
        <v>126569</v>
      </c>
      <c r="L234" s="8">
        <v>50000</v>
      </c>
      <c r="M234" s="8">
        <v>350000</v>
      </c>
      <c r="N234" s="8">
        <v>260000</v>
      </c>
      <c r="O234" s="8">
        <f t="shared" si="63"/>
        <v>0.37220000009983778</v>
      </c>
    </row>
    <row r="235" spans="1:15" ht="18" customHeight="1">
      <c r="A235" s="5">
        <v>203</v>
      </c>
      <c r="B235" s="5">
        <v>6936</v>
      </c>
      <c r="C235" s="6" t="s">
        <v>311</v>
      </c>
      <c r="D235" s="5">
        <v>13060</v>
      </c>
      <c r="E235" s="7" t="s">
        <v>238</v>
      </c>
      <c r="F235" s="8">
        <v>456303.61</v>
      </c>
      <c r="G235" s="8">
        <v>238.5</v>
      </c>
      <c r="H235" s="8">
        <f t="shared" si="53"/>
        <v>547564.33199999994</v>
      </c>
      <c r="I235" s="8">
        <f t="shared" si="54"/>
        <v>739211.84819999989</v>
      </c>
      <c r="J235" s="8">
        <f t="shared" si="64"/>
        <v>739211.84819999989</v>
      </c>
      <c r="K235" s="8">
        <v>200000</v>
      </c>
      <c r="L235" s="8">
        <v>200000</v>
      </c>
      <c r="M235" s="8">
        <v>300000</v>
      </c>
      <c r="N235" s="8">
        <v>39212</v>
      </c>
      <c r="O235" s="8">
        <f t="shared" si="63"/>
        <v>0.15180000010877848</v>
      </c>
    </row>
    <row r="236" spans="1:15" ht="18" customHeight="1">
      <c r="A236" s="5">
        <v>204</v>
      </c>
      <c r="B236" s="5">
        <v>8780</v>
      </c>
      <c r="C236" s="26" t="s">
        <v>530</v>
      </c>
      <c r="D236" s="5">
        <v>14539</v>
      </c>
      <c r="E236" s="7" t="s">
        <v>239</v>
      </c>
      <c r="F236" s="8">
        <v>291887.37</v>
      </c>
      <c r="G236" s="8">
        <v>251.03</v>
      </c>
      <c r="H236" s="8">
        <f t="shared" si="53"/>
        <v>350264.84400000004</v>
      </c>
      <c r="I236" s="8">
        <f t="shared" si="54"/>
        <v>472857.53940000007</v>
      </c>
      <c r="J236" s="8">
        <f t="shared" si="64"/>
        <v>472857.53940000007</v>
      </c>
      <c r="K236" s="8">
        <v>0</v>
      </c>
      <c r="L236" s="8">
        <v>400000</v>
      </c>
      <c r="M236" s="8">
        <v>0</v>
      </c>
      <c r="N236" s="8">
        <v>72858</v>
      </c>
      <c r="O236" s="8">
        <f t="shared" si="63"/>
        <v>0.46059999993303791</v>
      </c>
    </row>
    <row r="237" spans="1:15" ht="18" customHeight="1">
      <c r="A237" s="10" t="s">
        <v>12</v>
      </c>
      <c r="B237" s="11"/>
      <c r="C237" s="12"/>
      <c r="D237" s="11" t="s">
        <v>12</v>
      </c>
      <c r="E237" s="13" t="s">
        <v>240</v>
      </c>
      <c r="F237" s="14">
        <f>SUM(F230:F236)</f>
        <v>2886079.91</v>
      </c>
      <c r="G237" s="14">
        <v>239.83</v>
      </c>
      <c r="H237" s="14">
        <f t="shared" si="53"/>
        <v>3463295.8920000005</v>
      </c>
      <c r="I237" s="14">
        <f t="shared" si="54"/>
        <v>4675449.4542000005</v>
      </c>
      <c r="J237" s="14">
        <f>SUM(J230:J236)</f>
        <v>4744106.3166000005</v>
      </c>
      <c r="K237" s="14">
        <f t="shared" ref="K237:O237" si="65">SUM(K230:K236)</f>
        <v>786569</v>
      </c>
      <c r="L237" s="14">
        <f t="shared" si="65"/>
        <v>1700000</v>
      </c>
      <c r="M237" s="14">
        <f t="shared" si="65"/>
        <v>1400584</v>
      </c>
      <c r="N237" s="14">
        <f t="shared" si="65"/>
        <v>856955</v>
      </c>
      <c r="O237" s="14">
        <f t="shared" si="65"/>
        <v>1.6833999999216758</v>
      </c>
    </row>
    <row r="238" spans="1:15" ht="18" customHeight="1">
      <c r="A238" s="5">
        <v>205</v>
      </c>
      <c r="B238" s="5">
        <v>1933</v>
      </c>
      <c r="C238" s="6" t="s">
        <v>486</v>
      </c>
      <c r="D238" s="5">
        <v>11040</v>
      </c>
      <c r="E238" s="7" t="s">
        <v>241</v>
      </c>
      <c r="F238" s="8">
        <v>328028.05</v>
      </c>
      <c r="G238" s="8">
        <v>253.3</v>
      </c>
      <c r="H238" s="8">
        <f t="shared" si="53"/>
        <v>393633.66000000003</v>
      </c>
      <c r="I238" s="8">
        <f t="shared" si="54"/>
        <v>531405.44099999999</v>
      </c>
      <c r="J238" s="8">
        <f t="shared" ref="J238:J245" si="66">+I238</f>
        <v>531405.44099999999</v>
      </c>
      <c r="K238" s="8"/>
      <c r="L238" s="8">
        <v>371984</v>
      </c>
      <c r="M238" s="8"/>
      <c r="N238" s="8">
        <v>159422</v>
      </c>
      <c r="O238" s="8">
        <f t="shared" si="63"/>
        <v>0.5590000000083819</v>
      </c>
    </row>
    <row r="239" spans="1:15" ht="18" customHeight="1">
      <c r="A239" s="5">
        <v>206</v>
      </c>
      <c r="B239" s="5">
        <v>0</v>
      </c>
      <c r="C239" s="29" t="s">
        <v>307</v>
      </c>
      <c r="D239" s="5">
        <v>11043</v>
      </c>
      <c r="E239" s="7" t="s">
        <v>242</v>
      </c>
      <c r="F239" s="8">
        <v>290050.92000000004</v>
      </c>
      <c r="G239" s="8">
        <v>226.82</v>
      </c>
      <c r="H239" s="8">
        <f t="shared" si="53"/>
        <v>348061.10400000005</v>
      </c>
      <c r="I239" s="8">
        <f t="shared" si="54"/>
        <v>469882.49040000007</v>
      </c>
      <c r="J239" s="8">
        <f t="shared" si="66"/>
        <v>469882.49040000007</v>
      </c>
      <c r="K239" s="8"/>
      <c r="L239" s="8">
        <v>328918</v>
      </c>
      <c r="M239" s="8"/>
      <c r="N239" s="8">
        <v>140965</v>
      </c>
      <c r="O239" s="8">
        <f t="shared" si="63"/>
        <v>0.50959999993210658</v>
      </c>
    </row>
    <row r="240" spans="1:15" ht="18" customHeight="1">
      <c r="A240" s="5">
        <v>207</v>
      </c>
      <c r="B240" s="5">
        <v>2837</v>
      </c>
      <c r="C240" s="6" t="s">
        <v>487</v>
      </c>
      <c r="D240" s="5">
        <v>11044</v>
      </c>
      <c r="E240" s="7" t="s">
        <v>243</v>
      </c>
      <c r="F240" s="8">
        <v>392425.60000000003</v>
      </c>
      <c r="G240" s="8">
        <v>293.75</v>
      </c>
      <c r="H240" s="8">
        <f t="shared" si="53"/>
        <v>470910.72000000009</v>
      </c>
      <c r="I240" s="8">
        <f t="shared" si="54"/>
        <v>635729.47200000007</v>
      </c>
      <c r="J240" s="8">
        <f t="shared" si="66"/>
        <v>635729.47200000007</v>
      </c>
      <c r="K240" s="8"/>
      <c r="L240" s="8">
        <v>445011</v>
      </c>
      <c r="M240" s="8"/>
      <c r="N240" s="8">
        <v>190719</v>
      </c>
      <c r="O240" s="8">
        <f t="shared" si="63"/>
        <v>0.52799999993294477</v>
      </c>
    </row>
    <row r="241" spans="1:15" ht="18" customHeight="1">
      <c r="A241" s="5">
        <v>208</v>
      </c>
      <c r="B241" s="5">
        <v>2106</v>
      </c>
      <c r="C241" s="6" t="s">
        <v>488</v>
      </c>
      <c r="D241" s="5">
        <v>11045</v>
      </c>
      <c r="E241" s="7" t="s">
        <v>244</v>
      </c>
      <c r="F241" s="8">
        <v>332048.2</v>
      </c>
      <c r="G241" s="8">
        <v>258.17</v>
      </c>
      <c r="H241" s="8">
        <f t="shared" si="53"/>
        <v>398457.83999999997</v>
      </c>
      <c r="I241" s="8">
        <f t="shared" si="54"/>
        <v>537918.08399999992</v>
      </c>
      <c r="J241" s="8">
        <f t="shared" si="66"/>
        <v>537918.08399999992</v>
      </c>
      <c r="K241" s="8"/>
      <c r="L241" s="8">
        <v>376543</v>
      </c>
      <c r="M241" s="8"/>
      <c r="N241" s="8">
        <v>161375</v>
      </c>
      <c r="O241" s="8">
        <f t="shared" si="63"/>
        <v>-8.3999999915249646E-2</v>
      </c>
    </row>
    <row r="242" spans="1:15" ht="18" customHeight="1">
      <c r="A242" s="5">
        <v>209</v>
      </c>
      <c r="B242" s="5">
        <v>7233</v>
      </c>
      <c r="C242" s="6" t="s">
        <v>489</v>
      </c>
      <c r="D242" s="5">
        <v>12292</v>
      </c>
      <c r="E242" s="7" t="s">
        <v>245</v>
      </c>
      <c r="F242" s="8">
        <v>332658.08</v>
      </c>
      <c r="G242" s="8">
        <v>270.27</v>
      </c>
      <c r="H242" s="8">
        <f t="shared" si="53"/>
        <v>399189.69600000005</v>
      </c>
      <c r="I242" s="8">
        <f t="shared" si="54"/>
        <v>538906.08960000006</v>
      </c>
      <c r="J242" s="8">
        <f t="shared" si="66"/>
        <v>538906.08960000006</v>
      </c>
      <c r="K242" s="8"/>
      <c r="L242" s="8">
        <v>377234</v>
      </c>
      <c r="M242" s="8"/>
      <c r="N242" s="8">
        <v>161672</v>
      </c>
      <c r="O242" s="8">
        <f t="shared" si="63"/>
        <v>-8.9600000064820051E-2</v>
      </c>
    </row>
    <row r="243" spans="1:15" ht="18" customHeight="1">
      <c r="A243" s="5">
        <v>210</v>
      </c>
      <c r="B243" s="5">
        <v>4156</v>
      </c>
      <c r="C243" s="6" t="s">
        <v>490</v>
      </c>
      <c r="D243" s="5">
        <v>11055</v>
      </c>
      <c r="E243" s="7" t="s">
        <v>246</v>
      </c>
      <c r="F243" s="8">
        <v>319452.53000000003</v>
      </c>
      <c r="G243" s="8">
        <v>246.32</v>
      </c>
      <c r="H243" s="8">
        <f t="shared" si="53"/>
        <v>383343.03600000008</v>
      </c>
      <c r="I243" s="8">
        <f t="shared" si="54"/>
        <v>517513.09860000014</v>
      </c>
      <c r="J243" s="8">
        <f t="shared" si="66"/>
        <v>517513.09860000014</v>
      </c>
      <c r="K243" s="8"/>
      <c r="L243" s="8">
        <v>362259</v>
      </c>
      <c r="M243" s="8"/>
      <c r="N243" s="8">
        <v>155254</v>
      </c>
      <c r="O243" s="8">
        <f t="shared" si="63"/>
        <v>-9.8600000143051147E-2</v>
      </c>
    </row>
    <row r="244" spans="1:15" ht="18" customHeight="1">
      <c r="A244" s="5">
        <v>211</v>
      </c>
      <c r="B244" s="5">
        <v>967</v>
      </c>
      <c r="C244" s="6" t="s">
        <v>491</v>
      </c>
      <c r="D244" s="5">
        <v>12337</v>
      </c>
      <c r="E244" s="7" t="s">
        <v>247</v>
      </c>
      <c r="F244" s="8">
        <v>373948.74</v>
      </c>
      <c r="G244" s="8">
        <v>290.88</v>
      </c>
      <c r="H244" s="8">
        <f t="shared" si="53"/>
        <v>448738.48799999995</v>
      </c>
      <c r="I244" s="8">
        <f t="shared" si="54"/>
        <v>605796.95879999991</v>
      </c>
      <c r="J244" s="8">
        <f t="shared" si="66"/>
        <v>605796.95879999991</v>
      </c>
      <c r="K244" s="8"/>
      <c r="L244" s="8">
        <v>424058</v>
      </c>
      <c r="M244" s="8"/>
      <c r="N244" s="8">
        <v>181739</v>
      </c>
      <c r="O244" s="8">
        <f t="shared" si="63"/>
        <v>4.1200000094249845E-2</v>
      </c>
    </row>
    <row r="245" spans="1:15" ht="18" customHeight="1">
      <c r="A245" s="5">
        <v>212</v>
      </c>
      <c r="B245" s="5">
        <v>7667</v>
      </c>
      <c r="C245" s="6" t="s">
        <v>492</v>
      </c>
      <c r="D245" s="5">
        <v>14565</v>
      </c>
      <c r="E245" s="7" t="s">
        <v>248</v>
      </c>
      <c r="F245" s="8">
        <v>304457.94</v>
      </c>
      <c r="G245" s="8">
        <v>246.2</v>
      </c>
      <c r="H245" s="8">
        <f t="shared" si="53"/>
        <v>365349.52800000005</v>
      </c>
      <c r="I245" s="8">
        <f t="shared" si="54"/>
        <v>493221.86280000006</v>
      </c>
      <c r="J245" s="8">
        <f t="shared" si="66"/>
        <v>493221.86280000006</v>
      </c>
      <c r="K245" s="8"/>
      <c r="L245" s="8">
        <v>345255</v>
      </c>
      <c r="M245" s="8"/>
      <c r="N245" s="8">
        <v>147967</v>
      </c>
      <c r="O245" s="8">
        <f t="shared" si="63"/>
        <v>0.13719999993918464</v>
      </c>
    </row>
    <row r="246" spans="1:15" ht="18" customHeight="1">
      <c r="A246" s="10" t="s">
        <v>12</v>
      </c>
      <c r="B246" s="11"/>
      <c r="C246" s="12"/>
      <c r="D246" s="11" t="s">
        <v>12</v>
      </c>
      <c r="E246" s="13" t="s">
        <v>249</v>
      </c>
      <c r="F246" s="14">
        <f>SUM(F238:F245)</f>
        <v>2673070.06</v>
      </c>
      <c r="G246" s="14">
        <v>260.95999999999998</v>
      </c>
      <c r="H246" s="14">
        <f t="shared" si="53"/>
        <v>3207684.0719999997</v>
      </c>
      <c r="I246" s="14">
        <f t="shared" si="54"/>
        <v>4330373.4971999992</v>
      </c>
      <c r="J246" s="14">
        <f>SUM(J238:J245)</f>
        <v>4330373.4972000001</v>
      </c>
      <c r="K246" s="14">
        <f t="shared" ref="K246:O246" si="67">SUM(K238:K245)</f>
        <v>0</v>
      </c>
      <c r="L246" s="14">
        <f t="shared" si="67"/>
        <v>3031262</v>
      </c>
      <c r="M246" s="14">
        <f t="shared" si="67"/>
        <v>0</v>
      </c>
      <c r="N246" s="14">
        <f t="shared" si="67"/>
        <v>1299113</v>
      </c>
      <c r="O246" s="14">
        <f t="shared" si="67"/>
        <v>1.5027999997837469</v>
      </c>
    </row>
    <row r="247" spans="1:15" ht="18" customHeight="1">
      <c r="A247" s="5">
        <v>213</v>
      </c>
      <c r="B247" s="5">
        <v>5690</v>
      </c>
      <c r="C247" s="6" t="s">
        <v>493</v>
      </c>
      <c r="D247" s="5">
        <v>11046</v>
      </c>
      <c r="E247" s="7" t="s">
        <v>250</v>
      </c>
      <c r="F247" s="8">
        <v>368220.67</v>
      </c>
      <c r="G247" s="8">
        <v>322.7</v>
      </c>
      <c r="H247" s="8">
        <f t="shared" si="53"/>
        <v>441864.80399999995</v>
      </c>
      <c r="I247" s="8">
        <f t="shared" si="54"/>
        <v>596517.48539999989</v>
      </c>
      <c r="J247" s="8">
        <f t="shared" ref="J247:J249" si="68">+I247</f>
        <v>596517.48539999989</v>
      </c>
      <c r="K247" s="8">
        <v>50000</v>
      </c>
      <c r="L247" s="8">
        <v>150000</v>
      </c>
      <c r="M247" s="8">
        <v>200000</v>
      </c>
      <c r="N247" s="8">
        <v>200000</v>
      </c>
      <c r="O247" s="8">
        <f t="shared" si="63"/>
        <v>3482.5146000001114</v>
      </c>
    </row>
    <row r="248" spans="1:15" ht="18" customHeight="1">
      <c r="A248" s="5">
        <v>214</v>
      </c>
      <c r="B248" s="5">
        <v>2299</v>
      </c>
      <c r="C248" s="6" t="s">
        <v>494</v>
      </c>
      <c r="D248" s="5">
        <v>13496</v>
      </c>
      <c r="E248" s="7" t="s">
        <v>251</v>
      </c>
      <c r="F248" s="8">
        <v>385453.4</v>
      </c>
      <c r="G248" s="8">
        <v>333.04</v>
      </c>
      <c r="H248" s="8">
        <f t="shared" si="53"/>
        <v>462544.08000000007</v>
      </c>
      <c r="I248" s="8">
        <f t="shared" si="54"/>
        <v>624434.50800000015</v>
      </c>
      <c r="J248" s="8">
        <f t="shared" si="68"/>
        <v>624434.50800000015</v>
      </c>
      <c r="K248" s="8">
        <v>50000</v>
      </c>
      <c r="L248" s="8">
        <v>110000</v>
      </c>
      <c r="M248" s="8">
        <v>200000</v>
      </c>
      <c r="N248" s="8">
        <v>265000</v>
      </c>
      <c r="O248" s="8">
        <f t="shared" si="63"/>
        <v>565.49199999985285</v>
      </c>
    </row>
    <row r="249" spans="1:15" ht="18" customHeight="1">
      <c r="A249" s="5">
        <v>215</v>
      </c>
      <c r="B249" s="5">
        <v>2255</v>
      </c>
      <c r="C249" s="6" t="s">
        <v>495</v>
      </c>
      <c r="D249" s="5">
        <v>11047</v>
      </c>
      <c r="E249" s="7" t="s">
        <v>252</v>
      </c>
      <c r="F249" s="8">
        <v>456341.16</v>
      </c>
      <c r="G249" s="8">
        <v>383.7</v>
      </c>
      <c r="H249" s="8">
        <f t="shared" si="53"/>
        <v>547609.39199999999</v>
      </c>
      <c r="I249" s="8">
        <f t="shared" si="54"/>
        <v>739272.67920000001</v>
      </c>
      <c r="J249" s="8">
        <f t="shared" si="68"/>
        <v>739272.67920000001</v>
      </c>
      <c r="K249" s="8">
        <v>150000</v>
      </c>
      <c r="L249" s="8">
        <v>300000</v>
      </c>
      <c r="M249" s="8">
        <v>250000</v>
      </c>
      <c r="N249" s="8">
        <v>40000</v>
      </c>
      <c r="O249" s="8">
        <f t="shared" si="63"/>
        <v>727.32079999998678</v>
      </c>
    </row>
    <row r="250" spans="1:15" ht="18" customHeight="1">
      <c r="A250" s="5">
        <v>216</v>
      </c>
      <c r="B250" s="5">
        <v>1804</v>
      </c>
      <c r="C250" s="6" t="s">
        <v>496</v>
      </c>
      <c r="D250" s="5">
        <v>11051</v>
      </c>
      <c r="E250" s="7" t="s">
        <v>253</v>
      </c>
      <c r="F250" s="8">
        <v>205994.92</v>
      </c>
      <c r="G250" s="8">
        <v>149.08000000000001</v>
      </c>
      <c r="H250" s="8">
        <f t="shared" si="53"/>
        <v>247193.90400000004</v>
      </c>
      <c r="I250" s="8">
        <f t="shared" si="54"/>
        <v>333711.77040000004</v>
      </c>
      <c r="J250" s="5">
        <v>383712</v>
      </c>
      <c r="K250" s="5">
        <v>95000</v>
      </c>
      <c r="L250" s="5">
        <v>150000</v>
      </c>
      <c r="M250" s="5">
        <v>100000</v>
      </c>
      <c r="N250" s="5">
        <v>40000</v>
      </c>
      <c r="O250" s="8">
        <f t="shared" si="63"/>
        <v>1288</v>
      </c>
    </row>
    <row r="251" spans="1:15" ht="18" customHeight="1">
      <c r="A251" s="5">
        <v>217</v>
      </c>
      <c r="B251" s="5">
        <v>8312</v>
      </c>
      <c r="C251" s="6" t="s">
        <v>497</v>
      </c>
      <c r="D251" s="5">
        <v>12980</v>
      </c>
      <c r="E251" s="7" t="s">
        <v>254</v>
      </c>
      <c r="F251" s="8">
        <v>270345.76000000007</v>
      </c>
      <c r="G251" s="8">
        <v>245.92</v>
      </c>
      <c r="H251" s="8">
        <f t="shared" si="53"/>
        <v>324414.91200000013</v>
      </c>
      <c r="I251" s="8">
        <f t="shared" si="54"/>
        <v>437960.13120000018</v>
      </c>
      <c r="J251" s="8">
        <f t="shared" ref="J251:J252" si="69">+I251</f>
        <v>437960.13120000018</v>
      </c>
      <c r="K251" s="8">
        <v>35000</v>
      </c>
      <c r="L251" s="8">
        <v>130000</v>
      </c>
      <c r="M251" s="8">
        <v>70000</v>
      </c>
      <c r="N251" s="8">
        <v>200000</v>
      </c>
      <c r="O251" s="8">
        <f t="shared" si="63"/>
        <v>-2960.1312000001781</v>
      </c>
    </row>
    <row r="252" spans="1:15" ht="18" customHeight="1">
      <c r="A252" s="5">
        <v>218</v>
      </c>
      <c r="B252" s="5">
        <v>2841</v>
      </c>
      <c r="C252" s="6" t="s">
        <v>498</v>
      </c>
      <c r="D252" s="5">
        <v>11054</v>
      </c>
      <c r="E252" s="7" t="s">
        <v>255</v>
      </c>
      <c r="F252" s="8">
        <v>334459.46999999997</v>
      </c>
      <c r="G252" s="8">
        <v>305.52999999999997</v>
      </c>
      <c r="H252" s="8">
        <f t="shared" si="53"/>
        <v>401351.364</v>
      </c>
      <c r="I252" s="8">
        <f t="shared" si="54"/>
        <v>541824.34140000003</v>
      </c>
      <c r="J252" s="8">
        <f t="shared" si="69"/>
        <v>541824.34140000003</v>
      </c>
      <c r="K252" s="8"/>
      <c r="L252" s="8">
        <v>280000</v>
      </c>
      <c r="M252" s="8"/>
      <c r="N252" s="8">
        <v>262000</v>
      </c>
      <c r="O252" s="8">
        <f t="shared" si="63"/>
        <v>175.6585999999661</v>
      </c>
    </row>
    <row r="253" spans="1:15" ht="18" customHeight="1">
      <c r="A253" s="5">
        <v>219</v>
      </c>
      <c r="B253" s="5">
        <v>7315</v>
      </c>
      <c r="C253" s="6" t="s">
        <v>499</v>
      </c>
      <c r="D253" s="5">
        <v>12555</v>
      </c>
      <c r="E253" s="7" t="s">
        <v>256</v>
      </c>
      <c r="F253" s="8">
        <v>224883.32</v>
      </c>
      <c r="G253" s="8">
        <v>201.98</v>
      </c>
      <c r="H253" s="8">
        <f t="shared" si="53"/>
        <v>269859.98400000005</v>
      </c>
      <c r="I253" s="8">
        <f t="shared" si="54"/>
        <v>364310.97840000008</v>
      </c>
      <c r="J253" s="5">
        <v>414311</v>
      </c>
      <c r="K253" s="5"/>
      <c r="L253" s="5">
        <v>200000</v>
      </c>
      <c r="M253" s="5"/>
      <c r="N253" s="5">
        <v>215000</v>
      </c>
      <c r="O253" s="8">
        <f t="shared" si="63"/>
        <v>689</v>
      </c>
    </row>
    <row r="254" spans="1:15" ht="18" customHeight="1">
      <c r="A254" s="10" t="s">
        <v>12</v>
      </c>
      <c r="B254" s="11"/>
      <c r="C254" s="12"/>
      <c r="D254" s="11" t="s">
        <v>12</v>
      </c>
      <c r="E254" s="13" t="s">
        <v>257</v>
      </c>
      <c r="F254" s="14">
        <f>SUM(F247:F253)</f>
        <v>2245698.6999999997</v>
      </c>
      <c r="G254" s="14">
        <v>278.33</v>
      </c>
      <c r="H254" s="14">
        <f t="shared" si="53"/>
        <v>2694838.4399999995</v>
      </c>
      <c r="I254" s="14">
        <f t="shared" si="54"/>
        <v>3638031.8939999994</v>
      </c>
      <c r="J254" s="14">
        <f>SUM(J247:J253)</f>
        <v>3738032.1452000001</v>
      </c>
      <c r="K254" s="14">
        <f t="shared" ref="K254:O254" si="70">SUM(K247:K253)</f>
        <v>380000</v>
      </c>
      <c r="L254" s="14">
        <f t="shared" si="70"/>
        <v>1320000</v>
      </c>
      <c r="M254" s="14">
        <f t="shared" si="70"/>
        <v>820000</v>
      </c>
      <c r="N254" s="14">
        <f t="shared" si="70"/>
        <v>1222000</v>
      </c>
      <c r="O254" s="14">
        <f t="shared" si="70"/>
        <v>3967.854799999739</v>
      </c>
    </row>
    <row r="255" spans="1:15" ht="18" customHeight="1">
      <c r="A255" s="5">
        <v>220</v>
      </c>
      <c r="B255" s="5">
        <v>3673</v>
      </c>
      <c r="C255" s="6" t="s">
        <v>500</v>
      </c>
      <c r="D255" s="5">
        <v>11052</v>
      </c>
      <c r="E255" s="7" t="s">
        <v>258</v>
      </c>
      <c r="F255" s="8">
        <v>315247.84999999998</v>
      </c>
      <c r="G255" s="8">
        <v>270.68</v>
      </c>
      <c r="H255" s="8">
        <f t="shared" si="53"/>
        <v>378297.41999999993</v>
      </c>
      <c r="I255" s="8">
        <f t="shared" si="54"/>
        <v>510701.51699999988</v>
      </c>
      <c r="J255" s="8">
        <v>510702</v>
      </c>
      <c r="K255" s="8">
        <v>120000</v>
      </c>
      <c r="L255" s="8">
        <v>230000</v>
      </c>
      <c r="M255" s="8">
        <v>120000</v>
      </c>
      <c r="N255" s="8">
        <v>40702</v>
      </c>
      <c r="O255" s="8">
        <f t="shared" si="63"/>
        <v>0</v>
      </c>
    </row>
    <row r="256" spans="1:15" ht="18" customHeight="1">
      <c r="A256" s="5">
        <v>221</v>
      </c>
      <c r="B256" s="5">
        <v>0</v>
      </c>
      <c r="C256" s="6" t="s">
        <v>501</v>
      </c>
      <c r="D256" s="5">
        <v>11058</v>
      </c>
      <c r="E256" s="7" t="s">
        <v>259</v>
      </c>
      <c r="F256" s="8">
        <v>146204.38</v>
      </c>
      <c r="G256" s="8">
        <v>127.4</v>
      </c>
      <c r="H256" s="8">
        <f t="shared" si="53"/>
        <v>175445.25599999999</v>
      </c>
      <c r="I256" s="8">
        <f t="shared" si="54"/>
        <v>236851.0956</v>
      </c>
      <c r="J256" s="5">
        <v>336851</v>
      </c>
      <c r="K256" s="5">
        <v>100000</v>
      </c>
      <c r="L256" s="5">
        <v>120000</v>
      </c>
      <c r="M256" s="5">
        <v>80000</v>
      </c>
      <c r="N256" s="5">
        <v>36851</v>
      </c>
      <c r="O256" s="8">
        <f t="shared" si="63"/>
        <v>0</v>
      </c>
    </row>
    <row r="257" spans="1:15" ht="18" customHeight="1">
      <c r="A257" s="5">
        <v>222</v>
      </c>
      <c r="B257" s="5">
        <v>1291</v>
      </c>
      <c r="C257" s="6" t="s">
        <v>502</v>
      </c>
      <c r="D257" s="5">
        <v>11053</v>
      </c>
      <c r="E257" s="7" t="s">
        <v>260</v>
      </c>
      <c r="F257" s="8">
        <v>320579.38999999996</v>
      </c>
      <c r="G257" s="8">
        <v>273.95999999999998</v>
      </c>
      <c r="H257" s="8">
        <f t="shared" si="53"/>
        <v>384695.26799999992</v>
      </c>
      <c r="I257" s="8">
        <f t="shared" si="54"/>
        <v>519338.6117999999</v>
      </c>
      <c r="J257" s="8">
        <v>519339</v>
      </c>
      <c r="K257" s="8">
        <v>170000</v>
      </c>
      <c r="L257" s="8">
        <v>200000</v>
      </c>
      <c r="M257" s="8">
        <v>100000</v>
      </c>
      <c r="N257" s="8">
        <v>49339</v>
      </c>
      <c r="O257" s="8">
        <f t="shared" si="63"/>
        <v>0</v>
      </c>
    </row>
    <row r="258" spans="1:15" ht="18" customHeight="1">
      <c r="A258" s="5">
        <v>223</v>
      </c>
      <c r="B258" s="5">
        <v>5470</v>
      </c>
      <c r="C258" s="6" t="s">
        <v>503</v>
      </c>
      <c r="D258" s="5">
        <v>13092</v>
      </c>
      <c r="E258" s="7" t="s">
        <v>261</v>
      </c>
      <c r="F258" s="8">
        <v>312543.11000000004</v>
      </c>
      <c r="G258" s="8">
        <v>272.72000000000003</v>
      </c>
      <c r="H258" s="8">
        <f t="shared" si="53"/>
        <v>375051.73200000008</v>
      </c>
      <c r="I258" s="8">
        <f t="shared" si="54"/>
        <v>506319.83820000011</v>
      </c>
      <c r="J258" s="8">
        <v>506320</v>
      </c>
      <c r="K258" s="8">
        <v>130000</v>
      </c>
      <c r="L258" s="8">
        <v>200000</v>
      </c>
      <c r="M258" s="8">
        <v>150000</v>
      </c>
      <c r="N258" s="8">
        <v>26320</v>
      </c>
      <c r="O258" s="8">
        <f t="shared" si="63"/>
        <v>0</v>
      </c>
    </row>
    <row r="259" spans="1:15" ht="18" customHeight="1">
      <c r="A259" s="5">
        <v>224</v>
      </c>
      <c r="B259" s="5">
        <v>7581</v>
      </c>
      <c r="C259" s="6" t="s">
        <v>504</v>
      </c>
      <c r="D259" s="5">
        <v>12406</v>
      </c>
      <c r="E259" s="7" t="s">
        <v>262</v>
      </c>
      <c r="F259" s="8">
        <v>351105.27999999997</v>
      </c>
      <c r="G259" s="8">
        <v>296.25</v>
      </c>
      <c r="H259" s="8">
        <f t="shared" si="53"/>
        <v>421326.33600000001</v>
      </c>
      <c r="I259" s="8">
        <f t="shared" si="54"/>
        <v>568790.55359999998</v>
      </c>
      <c r="J259" s="8">
        <v>568791</v>
      </c>
      <c r="K259" s="8">
        <v>180000</v>
      </c>
      <c r="L259" s="8">
        <v>230000</v>
      </c>
      <c r="M259" s="8">
        <v>120000</v>
      </c>
      <c r="N259" s="8">
        <v>38791</v>
      </c>
      <c r="O259" s="8">
        <f t="shared" si="63"/>
        <v>0</v>
      </c>
    </row>
    <row r="260" spans="1:15" ht="18" customHeight="1">
      <c r="A260" s="5">
        <v>225</v>
      </c>
      <c r="B260" s="5">
        <v>1382</v>
      </c>
      <c r="C260" s="6" t="s">
        <v>505</v>
      </c>
      <c r="D260" s="5">
        <v>14564</v>
      </c>
      <c r="E260" s="7" t="s">
        <v>263</v>
      </c>
      <c r="F260" s="8">
        <v>259274.07</v>
      </c>
      <c r="G260" s="8">
        <v>242.77</v>
      </c>
      <c r="H260" s="8">
        <f t="shared" ref="H260:H290" si="71">(F260/5)*6</f>
        <v>311128.88399999996</v>
      </c>
      <c r="I260" s="8">
        <f t="shared" ref="I260:I290" si="72">(H260*35%)+H260</f>
        <v>420023.99339999992</v>
      </c>
      <c r="J260" s="8">
        <v>420024</v>
      </c>
      <c r="K260" s="8">
        <v>70000</v>
      </c>
      <c r="L260" s="8">
        <v>150000</v>
      </c>
      <c r="M260" s="8">
        <v>150000</v>
      </c>
      <c r="N260" s="8">
        <v>50024</v>
      </c>
      <c r="O260" s="8">
        <f t="shared" si="63"/>
        <v>0</v>
      </c>
    </row>
    <row r="261" spans="1:15" ht="18" customHeight="1">
      <c r="A261" s="5">
        <v>226</v>
      </c>
      <c r="B261" s="5">
        <v>2281</v>
      </c>
      <c r="C261" s="6" t="s">
        <v>298</v>
      </c>
      <c r="D261" s="5">
        <v>14701</v>
      </c>
      <c r="E261" s="7" t="s">
        <v>264</v>
      </c>
      <c r="F261" s="8">
        <v>296183.02999999997</v>
      </c>
      <c r="G261" s="8">
        <v>344.21</v>
      </c>
      <c r="H261" s="8">
        <f t="shared" si="71"/>
        <v>355419.63599999994</v>
      </c>
      <c r="I261" s="8">
        <f t="shared" si="72"/>
        <v>479816.50859999994</v>
      </c>
      <c r="J261" s="8">
        <v>479817</v>
      </c>
      <c r="K261" s="8">
        <v>170000</v>
      </c>
      <c r="L261" s="8">
        <v>120000</v>
      </c>
      <c r="M261" s="8">
        <v>0</v>
      </c>
      <c r="N261" s="8">
        <v>189817</v>
      </c>
      <c r="O261" s="8">
        <f t="shared" si="63"/>
        <v>0</v>
      </c>
    </row>
    <row r="262" spans="1:15" ht="16.5" customHeight="1">
      <c r="A262" s="10" t="s">
        <v>12</v>
      </c>
      <c r="B262" s="11"/>
      <c r="C262" s="12"/>
      <c r="D262" s="11" t="s">
        <v>12</v>
      </c>
      <c r="E262" s="13" t="s">
        <v>265</v>
      </c>
      <c r="F262" s="14">
        <f>SUM(F255:F261)</f>
        <v>2001137.11</v>
      </c>
      <c r="G262" s="14">
        <v>258.67</v>
      </c>
      <c r="H262" s="14">
        <f t="shared" si="71"/>
        <v>2401364.5320000001</v>
      </c>
      <c r="I262" s="14">
        <f t="shared" si="72"/>
        <v>3241842.1182000004</v>
      </c>
      <c r="J262" s="14">
        <f>SUM(J255:J261)</f>
        <v>3341844</v>
      </c>
      <c r="K262" s="14">
        <f t="shared" ref="K262:O262" si="73">SUM(K255:K261)</f>
        <v>940000</v>
      </c>
      <c r="L262" s="14">
        <f t="shared" si="73"/>
        <v>1250000</v>
      </c>
      <c r="M262" s="14">
        <f t="shared" si="73"/>
        <v>720000</v>
      </c>
      <c r="N262" s="14">
        <f t="shared" si="73"/>
        <v>431844</v>
      </c>
      <c r="O262" s="14">
        <f t="shared" si="73"/>
        <v>0</v>
      </c>
    </row>
    <row r="263" spans="1:15" ht="18" customHeight="1">
      <c r="A263" s="5">
        <v>227</v>
      </c>
      <c r="B263" s="5">
        <v>1895</v>
      </c>
      <c r="C263" s="6" t="s">
        <v>506</v>
      </c>
      <c r="D263" s="5">
        <v>11061</v>
      </c>
      <c r="E263" s="7" t="s">
        <v>266</v>
      </c>
      <c r="F263" s="8">
        <v>289778.57</v>
      </c>
      <c r="G263" s="8">
        <v>264.54000000000002</v>
      </c>
      <c r="H263" s="8">
        <f t="shared" si="71"/>
        <v>347734.28399999999</v>
      </c>
      <c r="I263" s="8">
        <f t="shared" si="72"/>
        <v>469441.28339999996</v>
      </c>
      <c r="J263" s="8">
        <v>469441</v>
      </c>
      <c r="K263" s="8">
        <v>100000</v>
      </c>
      <c r="L263" s="8">
        <v>100000</v>
      </c>
      <c r="M263" s="8">
        <v>269441</v>
      </c>
      <c r="N263" s="8"/>
      <c r="O263" s="8">
        <f t="shared" si="63"/>
        <v>0</v>
      </c>
    </row>
    <row r="264" spans="1:15" ht="18" customHeight="1">
      <c r="A264" s="5">
        <v>228</v>
      </c>
      <c r="B264" s="5">
        <v>5803</v>
      </c>
      <c r="C264" s="6" t="s">
        <v>507</v>
      </c>
      <c r="D264" s="5">
        <v>13029</v>
      </c>
      <c r="E264" s="7" t="s">
        <v>267</v>
      </c>
      <c r="F264" s="8">
        <v>202388.15</v>
      </c>
      <c r="G264" s="8">
        <v>196.21</v>
      </c>
      <c r="H264" s="8">
        <f t="shared" si="71"/>
        <v>242865.77999999997</v>
      </c>
      <c r="I264" s="8">
        <f t="shared" si="72"/>
        <v>327868.80299999996</v>
      </c>
      <c r="J264" s="5">
        <v>338605</v>
      </c>
      <c r="K264" s="5">
        <v>30000</v>
      </c>
      <c r="L264" s="5">
        <v>220000</v>
      </c>
      <c r="M264" s="5">
        <v>88605</v>
      </c>
      <c r="N264" s="5"/>
      <c r="O264" s="8">
        <f t="shared" si="63"/>
        <v>0</v>
      </c>
    </row>
    <row r="265" spans="1:15" ht="18" customHeight="1">
      <c r="A265" s="5">
        <v>229</v>
      </c>
      <c r="B265" s="5">
        <v>7415</v>
      </c>
      <c r="C265" s="6" t="s">
        <v>508</v>
      </c>
      <c r="D265" s="5">
        <v>11059</v>
      </c>
      <c r="E265" s="7" t="s">
        <v>268</v>
      </c>
      <c r="F265" s="8">
        <v>313210.33999999997</v>
      </c>
      <c r="G265" s="8">
        <v>267.08</v>
      </c>
      <c r="H265" s="8">
        <f t="shared" si="71"/>
        <v>375852.40799999994</v>
      </c>
      <c r="I265" s="8">
        <f t="shared" si="72"/>
        <v>507400.75079999992</v>
      </c>
      <c r="J265" s="8">
        <v>507401</v>
      </c>
      <c r="K265" s="8">
        <v>50000</v>
      </c>
      <c r="L265" s="8">
        <v>50000</v>
      </c>
      <c r="M265" s="8">
        <v>300000</v>
      </c>
      <c r="N265" s="8">
        <v>107401</v>
      </c>
      <c r="O265" s="8">
        <f t="shared" si="63"/>
        <v>0</v>
      </c>
    </row>
    <row r="266" spans="1:15" ht="18" customHeight="1">
      <c r="A266" s="5">
        <v>230</v>
      </c>
      <c r="B266" s="5">
        <v>6556</v>
      </c>
      <c r="C266" s="6" t="s">
        <v>509</v>
      </c>
      <c r="D266" s="5">
        <v>11060</v>
      </c>
      <c r="E266" s="7" t="s">
        <v>269</v>
      </c>
      <c r="F266" s="8">
        <v>302090.51</v>
      </c>
      <c r="G266" s="8">
        <v>264.69</v>
      </c>
      <c r="H266" s="8">
        <f t="shared" si="71"/>
        <v>362508.61199999996</v>
      </c>
      <c r="I266" s="8">
        <f t="shared" si="72"/>
        <v>489386.62619999994</v>
      </c>
      <c r="J266" s="8">
        <v>489387</v>
      </c>
      <c r="K266" s="8">
        <v>50000</v>
      </c>
      <c r="L266" s="8">
        <v>50000</v>
      </c>
      <c r="M266" s="8">
        <v>300000</v>
      </c>
      <c r="N266" s="8">
        <v>89387</v>
      </c>
      <c r="O266" s="8">
        <f t="shared" si="63"/>
        <v>0</v>
      </c>
    </row>
    <row r="267" spans="1:15" ht="18" customHeight="1">
      <c r="A267" s="5">
        <v>231</v>
      </c>
      <c r="B267" s="5">
        <v>7726</v>
      </c>
      <c r="C267" s="6" t="s">
        <v>510</v>
      </c>
      <c r="D267" s="5">
        <v>12600</v>
      </c>
      <c r="E267" s="7" t="s">
        <v>270</v>
      </c>
      <c r="F267" s="8">
        <v>286056.80000000005</v>
      </c>
      <c r="G267" s="8">
        <v>258.44</v>
      </c>
      <c r="H267" s="8">
        <f t="shared" si="71"/>
        <v>343268.16000000003</v>
      </c>
      <c r="I267" s="8">
        <f t="shared" si="72"/>
        <v>463412.01600000006</v>
      </c>
      <c r="J267" s="8">
        <v>463412</v>
      </c>
      <c r="K267" s="8">
        <v>50000</v>
      </c>
      <c r="L267" s="8">
        <v>60000</v>
      </c>
      <c r="M267" s="8">
        <v>300000</v>
      </c>
      <c r="N267" s="8">
        <v>53412</v>
      </c>
      <c r="O267" s="8">
        <f t="shared" si="63"/>
        <v>0</v>
      </c>
    </row>
    <row r="268" spans="1:15" ht="18" customHeight="1">
      <c r="A268" s="5">
        <v>232</v>
      </c>
      <c r="B268" s="5">
        <v>8313</v>
      </c>
      <c r="C268" s="6" t="s">
        <v>511</v>
      </c>
      <c r="D268" s="5">
        <v>14651</v>
      </c>
      <c r="E268" s="7" t="s">
        <v>271</v>
      </c>
      <c r="F268" s="8">
        <v>296152.42</v>
      </c>
      <c r="G268" s="8">
        <v>247.26</v>
      </c>
      <c r="H268" s="8">
        <f t="shared" si="71"/>
        <v>355382.90399999998</v>
      </c>
      <c r="I268" s="8">
        <f t="shared" si="72"/>
        <v>479766.92039999994</v>
      </c>
      <c r="J268" s="8">
        <v>479767</v>
      </c>
      <c r="K268" s="8">
        <v>50000</v>
      </c>
      <c r="L268" s="8">
        <v>60000</v>
      </c>
      <c r="M268" s="8">
        <v>300000</v>
      </c>
      <c r="N268" s="8">
        <v>69767</v>
      </c>
      <c r="O268" s="8">
        <f t="shared" si="63"/>
        <v>0</v>
      </c>
    </row>
    <row r="269" spans="1:15" ht="18" customHeight="1">
      <c r="A269" s="5">
        <v>233</v>
      </c>
      <c r="B269" s="5">
        <v>1475</v>
      </c>
      <c r="C269" s="6" t="s">
        <v>512</v>
      </c>
      <c r="D269" s="5">
        <v>11066</v>
      </c>
      <c r="E269" s="7" t="s">
        <v>272</v>
      </c>
      <c r="F269" s="8">
        <v>400065.85</v>
      </c>
      <c r="G269" s="8">
        <v>214.98</v>
      </c>
      <c r="H269" s="8">
        <f t="shared" si="71"/>
        <v>480079.02</v>
      </c>
      <c r="I269" s="8">
        <f t="shared" si="72"/>
        <v>648106.67700000003</v>
      </c>
      <c r="J269" s="5">
        <v>648107</v>
      </c>
      <c r="K269" s="5">
        <v>60000</v>
      </c>
      <c r="L269" s="5">
        <v>70000</v>
      </c>
      <c r="M269" s="5">
        <v>400000</v>
      </c>
      <c r="N269" s="5">
        <v>118107</v>
      </c>
      <c r="O269" s="8">
        <f t="shared" si="63"/>
        <v>0</v>
      </c>
    </row>
    <row r="270" spans="1:15" ht="18" customHeight="1">
      <c r="A270" s="5">
        <v>234</v>
      </c>
      <c r="B270" s="5">
        <v>1607</v>
      </c>
      <c r="C270" s="6" t="s">
        <v>513</v>
      </c>
      <c r="D270" s="5">
        <v>11067</v>
      </c>
      <c r="E270" s="7" t="s">
        <v>273</v>
      </c>
      <c r="F270" s="8">
        <v>400536.09</v>
      </c>
      <c r="G270" s="8">
        <v>229</v>
      </c>
      <c r="H270" s="8">
        <f t="shared" si="71"/>
        <v>480643.30800000008</v>
      </c>
      <c r="I270" s="8">
        <f t="shared" si="72"/>
        <v>648868.46580000012</v>
      </c>
      <c r="J270" s="8">
        <v>648868</v>
      </c>
      <c r="K270" s="8">
        <v>70000</v>
      </c>
      <c r="L270" s="8">
        <v>80000</v>
      </c>
      <c r="M270" s="8">
        <v>350000</v>
      </c>
      <c r="N270" s="8">
        <v>148868</v>
      </c>
      <c r="O270" s="8">
        <f t="shared" si="63"/>
        <v>0</v>
      </c>
    </row>
    <row r="271" spans="1:15" ht="18" customHeight="1">
      <c r="A271" s="5">
        <v>235</v>
      </c>
      <c r="B271" s="5">
        <v>3157</v>
      </c>
      <c r="C271" s="6" t="s">
        <v>514</v>
      </c>
      <c r="D271" s="5">
        <v>13263</v>
      </c>
      <c r="E271" s="7" t="s">
        <v>274</v>
      </c>
      <c r="F271" s="8">
        <v>478380.77999999997</v>
      </c>
      <c r="G271" s="8">
        <v>274.56</v>
      </c>
      <c r="H271" s="8">
        <f t="shared" si="71"/>
        <v>574056.93599999999</v>
      </c>
      <c r="I271" s="8">
        <f t="shared" si="72"/>
        <v>774976.86360000004</v>
      </c>
      <c r="J271" s="8">
        <v>774977</v>
      </c>
      <c r="K271" s="8">
        <v>60000</v>
      </c>
      <c r="L271" s="8">
        <v>70000</v>
      </c>
      <c r="M271" s="8">
        <v>400000</v>
      </c>
      <c r="N271" s="8">
        <v>244977</v>
      </c>
      <c r="O271" s="8">
        <f t="shared" si="63"/>
        <v>0</v>
      </c>
    </row>
    <row r="272" spans="1:15">
      <c r="A272" s="10" t="s">
        <v>12</v>
      </c>
      <c r="B272" s="11"/>
      <c r="C272" s="12"/>
      <c r="D272" s="11" t="s">
        <v>12</v>
      </c>
      <c r="E272" s="13" t="s">
        <v>536</v>
      </c>
      <c r="F272" s="14">
        <f>SUM(F263:F271)</f>
        <v>2968659.5099999993</v>
      </c>
      <c r="G272" s="14">
        <v>245.56</v>
      </c>
      <c r="H272" s="14">
        <f t="shared" si="71"/>
        <v>3562391.4119999995</v>
      </c>
      <c r="I272" s="14">
        <f t="shared" si="72"/>
        <v>4809228.4061999992</v>
      </c>
      <c r="J272" s="14">
        <f>SUM(J263:J271)</f>
        <v>4819965</v>
      </c>
      <c r="K272" s="14">
        <f t="shared" ref="K272:O272" si="74">SUM(K263:K271)</f>
        <v>520000</v>
      </c>
      <c r="L272" s="14">
        <f t="shared" si="74"/>
        <v>760000</v>
      </c>
      <c r="M272" s="14">
        <f t="shared" si="74"/>
        <v>2708046</v>
      </c>
      <c r="N272" s="14">
        <f t="shared" si="74"/>
        <v>831919</v>
      </c>
      <c r="O272" s="14">
        <f t="shared" si="74"/>
        <v>0</v>
      </c>
    </row>
    <row r="273" spans="1:15" ht="18" customHeight="1">
      <c r="A273" s="5">
        <v>236</v>
      </c>
      <c r="B273" s="5">
        <v>5920</v>
      </c>
      <c r="C273" s="6" t="s">
        <v>515</v>
      </c>
      <c r="D273" s="5">
        <v>13309</v>
      </c>
      <c r="E273" s="7" t="s">
        <v>275</v>
      </c>
      <c r="F273" s="8">
        <v>320786.49</v>
      </c>
      <c r="G273" s="8">
        <v>242.13</v>
      </c>
      <c r="H273" s="8">
        <f t="shared" si="71"/>
        <v>384943.78799999994</v>
      </c>
      <c r="I273" s="8">
        <f t="shared" si="72"/>
        <v>519674.11379999993</v>
      </c>
      <c r="J273" s="8">
        <f t="shared" ref="J273:J278" si="75">+I273</f>
        <v>519674.11379999993</v>
      </c>
      <c r="K273" s="8">
        <v>353231</v>
      </c>
      <c r="L273" s="8"/>
      <c r="M273" s="8">
        <v>166443</v>
      </c>
      <c r="N273" s="8"/>
      <c r="O273" s="8">
        <f t="shared" si="63"/>
        <v>-0.11379999993368983</v>
      </c>
    </row>
    <row r="274" spans="1:15" ht="18" customHeight="1">
      <c r="A274" s="5">
        <v>237</v>
      </c>
      <c r="B274" s="5">
        <v>3728</v>
      </c>
      <c r="C274" s="6" t="s">
        <v>516</v>
      </c>
      <c r="D274" s="5">
        <v>11048</v>
      </c>
      <c r="E274" s="7" t="s">
        <v>276</v>
      </c>
      <c r="F274" s="8">
        <v>509925.41000000003</v>
      </c>
      <c r="G274" s="8">
        <v>305.10000000000002</v>
      </c>
      <c r="H274" s="8">
        <f t="shared" si="71"/>
        <v>611910.49200000009</v>
      </c>
      <c r="I274" s="8">
        <f t="shared" si="72"/>
        <v>826079.16420000012</v>
      </c>
      <c r="J274" s="8">
        <f t="shared" si="75"/>
        <v>826079.16420000012</v>
      </c>
      <c r="K274" s="8">
        <v>470632</v>
      </c>
      <c r="L274" s="8"/>
      <c r="M274" s="8">
        <v>355447</v>
      </c>
      <c r="N274" s="8"/>
      <c r="O274" s="8">
        <f t="shared" si="63"/>
        <v>-0.16420000011567026</v>
      </c>
    </row>
    <row r="275" spans="1:15" ht="18" customHeight="1">
      <c r="A275" s="5">
        <v>238</v>
      </c>
      <c r="B275" s="5">
        <v>1962</v>
      </c>
      <c r="C275" s="6" t="s">
        <v>517</v>
      </c>
      <c r="D275" s="5">
        <v>11049</v>
      </c>
      <c r="E275" s="7" t="s">
        <v>277</v>
      </c>
      <c r="F275" s="8">
        <v>399829.94</v>
      </c>
      <c r="G275" s="8">
        <v>334.63</v>
      </c>
      <c r="H275" s="8">
        <f t="shared" si="71"/>
        <v>479795.92799999996</v>
      </c>
      <c r="I275" s="8">
        <f t="shared" si="72"/>
        <v>647724.5027999999</v>
      </c>
      <c r="J275" s="8">
        <f t="shared" si="75"/>
        <v>647724.5027999999</v>
      </c>
      <c r="K275" s="8">
        <v>370725</v>
      </c>
      <c r="L275" s="8"/>
      <c r="M275" s="8">
        <v>277000</v>
      </c>
      <c r="N275" s="8"/>
      <c r="O275" s="8">
        <f t="shared" si="63"/>
        <v>0.49720000009983778</v>
      </c>
    </row>
    <row r="276" spans="1:15" ht="18" customHeight="1">
      <c r="A276" s="5">
        <v>239</v>
      </c>
      <c r="B276" s="5">
        <v>5139</v>
      </c>
      <c r="C276" s="6" t="s">
        <v>518</v>
      </c>
      <c r="D276" s="5">
        <v>11050</v>
      </c>
      <c r="E276" s="7" t="s">
        <v>278</v>
      </c>
      <c r="F276" s="8">
        <v>398106.58999999997</v>
      </c>
      <c r="G276" s="8">
        <v>348.22</v>
      </c>
      <c r="H276" s="8">
        <f t="shared" si="71"/>
        <v>477727.908</v>
      </c>
      <c r="I276" s="8">
        <f t="shared" si="72"/>
        <v>644932.67579999997</v>
      </c>
      <c r="J276" s="8">
        <f t="shared" si="75"/>
        <v>644932.67579999997</v>
      </c>
      <c r="K276" s="8">
        <v>365463</v>
      </c>
      <c r="L276" s="8"/>
      <c r="M276" s="8">
        <v>279470</v>
      </c>
      <c r="N276" s="8"/>
      <c r="O276" s="8">
        <f t="shared" si="63"/>
        <v>0.32420000003185123</v>
      </c>
    </row>
    <row r="277" spans="1:15" ht="18" customHeight="1">
      <c r="A277" s="5">
        <v>240</v>
      </c>
      <c r="B277" s="5">
        <v>3674</v>
      </c>
      <c r="C277" s="6" t="s">
        <v>519</v>
      </c>
      <c r="D277" s="5">
        <v>12293</v>
      </c>
      <c r="E277" s="7" t="s">
        <v>279</v>
      </c>
      <c r="F277" s="8">
        <v>295564.55</v>
      </c>
      <c r="G277" s="8">
        <v>229.59</v>
      </c>
      <c r="H277" s="8">
        <f t="shared" si="71"/>
        <v>354677.45999999996</v>
      </c>
      <c r="I277" s="8">
        <f t="shared" si="72"/>
        <v>478814.57099999994</v>
      </c>
      <c r="J277" s="8">
        <f t="shared" si="75"/>
        <v>478814.57099999994</v>
      </c>
      <c r="K277" s="8">
        <v>310560</v>
      </c>
      <c r="L277" s="8"/>
      <c r="M277" s="8">
        <v>168255</v>
      </c>
      <c r="N277" s="8"/>
      <c r="O277" s="8">
        <f t="shared" si="63"/>
        <v>0.42900000006193295</v>
      </c>
    </row>
    <row r="278" spans="1:15" ht="18" customHeight="1">
      <c r="A278" s="5">
        <v>241</v>
      </c>
      <c r="B278" s="5">
        <v>7316</v>
      </c>
      <c r="C278" s="6" t="s">
        <v>520</v>
      </c>
      <c r="D278" s="5">
        <v>13085</v>
      </c>
      <c r="E278" s="7" t="s">
        <v>280</v>
      </c>
      <c r="F278" s="8">
        <v>287226.13</v>
      </c>
      <c r="G278" s="8">
        <v>236.29</v>
      </c>
      <c r="H278" s="8">
        <f t="shared" si="71"/>
        <v>344671.35600000003</v>
      </c>
      <c r="I278" s="8">
        <f t="shared" si="72"/>
        <v>465306.33060000004</v>
      </c>
      <c r="J278" s="8">
        <f t="shared" si="75"/>
        <v>465306.33060000004</v>
      </c>
      <c r="K278" s="8">
        <v>305680</v>
      </c>
      <c r="L278" s="8"/>
      <c r="M278" s="8">
        <v>159626</v>
      </c>
      <c r="N278" s="8"/>
      <c r="O278" s="8">
        <f t="shared" si="63"/>
        <v>-0.33060000004479662</v>
      </c>
    </row>
    <row r="279" spans="1:15" ht="18" customHeight="1">
      <c r="A279" s="10" t="s">
        <v>12</v>
      </c>
      <c r="B279" s="11"/>
      <c r="C279" s="12"/>
      <c r="D279" s="11" t="s">
        <v>12</v>
      </c>
      <c r="E279" s="13" t="s">
        <v>281</v>
      </c>
      <c r="F279" s="14">
        <f>SUM(F273:F278)</f>
        <v>2211439.1100000003</v>
      </c>
      <c r="G279" s="14">
        <v>282.56</v>
      </c>
      <c r="H279" s="14">
        <f t="shared" si="71"/>
        <v>2653726.932</v>
      </c>
      <c r="I279" s="14">
        <f t="shared" si="72"/>
        <v>3582531.3582000001</v>
      </c>
      <c r="J279" s="14">
        <f>SUM(J273:J278)</f>
        <v>3582531.3581999997</v>
      </c>
      <c r="K279" s="14">
        <f t="shared" ref="K279:O279" si="76">SUM(K273:K278)</f>
        <v>2176291</v>
      </c>
      <c r="L279" s="14">
        <f t="shared" si="76"/>
        <v>0</v>
      </c>
      <c r="M279" s="14">
        <f t="shared" si="76"/>
        <v>1406241</v>
      </c>
      <c r="N279" s="14">
        <f t="shared" si="76"/>
        <v>0</v>
      </c>
      <c r="O279" s="14">
        <f t="shared" si="76"/>
        <v>0.64180000009946525</v>
      </c>
    </row>
    <row r="280" spans="1:15" ht="18" customHeight="1">
      <c r="A280" s="5">
        <v>242</v>
      </c>
      <c r="B280" s="5">
        <v>1334</v>
      </c>
      <c r="C280" s="6" t="s">
        <v>521</v>
      </c>
      <c r="D280" s="5">
        <v>11041</v>
      </c>
      <c r="E280" s="7" t="s">
        <v>282</v>
      </c>
      <c r="F280" s="8">
        <v>392851.89</v>
      </c>
      <c r="G280" s="8">
        <v>306.97000000000003</v>
      </c>
      <c r="H280" s="8">
        <f t="shared" si="71"/>
        <v>471422.26799999998</v>
      </c>
      <c r="I280" s="8">
        <f t="shared" si="72"/>
        <v>636420.06180000002</v>
      </c>
      <c r="J280" s="8">
        <v>636420</v>
      </c>
      <c r="K280" s="8"/>
      <c r="L280" s="8">
        <v>450420</v>
      </c>
      <c r="M280" s="8"/>
      <c r="N280" s="8">
        <v>186000</v>
      </c>
      <c r="O280" s="8">
        <f t="shared" si="63"/>
        <v>0</v>
      </c>
    </row>
    <row r="281" spans="1:15" ht="18" customHeight="1">
      <c r="A281" s="5">
        <v>243</v>
      </c>
      <c r="B281" s="5">
        <v>7061</v>
      </c>
      <c r="C281" s="6" t="s">
        <v>522</v>
      </c>
      <c r="D281" s="5">
        <v>12556</v>
      </c>
      <c r="E281" s="7" t="s">
        <v>283</v>
      </c>
      <c r="F281" s="8">
        <v>282739.71999999997</v>
      </c>
      <c r="G281" s="8">
        <v>242.19</v>
      </c>
      <c r="H281" s="8">
        <f t="shared" si="71"/>
        <v>339287.66399999999</v>
      </c>
      <c r="I281" s="8">
        <f t="shared" si="72"/>
        <v>458038.34639999998</v>
      </c>
      <c r="J281" s="8">
        <v>458038</v>
      </c>
      <c r="K281" s="8"/>
      <c r="L281" s="8">
        <v>350038</v>
      </c>
      <c r="M281" s="8"/>
      <c r="N281" s="8">
        <v>108000</v>
      </c>
      <c r="O281" s="8">
        <f t="shared" si="63"/>
        <v>0</v>
      </c>
    </row>
    <row r="282" spans="1:15" ht="18" customHeight="1">
      <c r="A282" s="5">
        <v>244</v>
      </c>
      <c r="B282" s="5">
        <v>1300</v>
      </c>
      <c r="C282" s="6" t="s">
        <v>523</v>
      </c>
      <c r="D282" s="5">
        <v>11042</v>
      </c>
      <c r="E282" s="7" t="s">
        <v>284</v>
      </c>
      <c r="F282" s="8">
        <v>195642.46</v>
      </c>
      <c r="G282" s="8">
        <v>180.05</v>
      </c>
      <c r="H282" s="8">
        <f t="shared" si="71"/>
        <v>234770.95199999999</v>
      </c>
      <c r="I282" s="8">
        <f t="shared" si="72"/>
        <v>316940.78519999998</v>
      </c>
      <c r="J282" s="5">
        <v>363896</v>
      </c>
      <c r="K282" s="5">
        <v>250896</v>
      </c>
      <c r="L282" s="5"/>
      <c r="M282" s="5">
        <v>113000</v>
      </c>
      <c r="N282" s="5"/>
      <c r="O282" s="8">
        <f t="shared" si="63"/>
        <v>0</v>
      </c>
    </row>
    <row r="283" spans="1:15" ht="18" customHeight="1">
      <c r="A283" s="5">
        <v>245</v>
      </c>
      <c r="B283" s="5">
        <v>5678</v>
      </c>
      <c r="C283" s="6" t="s">
        <v>524</v>
      </c>
      <c r="D283" s="5">
        <v>13033</v>
      </c>
      <c r="E283" s="7" t="s">
        <v>285</v>
      </c>
      <c r="F283" s="8">
        <v>228954.84</v>
      </c>
      <c r="G283" s="8">
        <v>204.21</v>
      </c>
      <c r="H283" s="8">
        <f t="shared" si="71"/>
        <v>274745.80800000002</v>
      </c>
      <c r="I283" s="8">
        <f t="shared" si="72"/>
        <v>370906.84080000001</v>
      </c>
      <c r="J283" s="5">
        <v>412121</v>
      </c>
      <c r="K283" s="5">
        <v>312121</v>
      </c>
      <c r="L283" s="5"/>
      <c r="M283" s="5">
        <v>100000</v>
      </c>
      <c r="N283" s="5"/>
      <c r="O283" s="8">
        <f t="shared" si="63"/>
        <v>0</v>
      </c>
    </row>
    <row r="284" spans="1:15" ht="18" customHeight="1">
      <c r="A284" s="5">
        <v>246</v>
      </c>
      <c r="B284" s="5">
        <v>1620</v>
      </c>
      <c r="C284" s="6" t="s">
        <v>525</v>
      </c>
      <c r="D284" s="5">
        <v>11056</v>
      </c>
      <c r="E284" s="7" t="s">
        <v>286</v>
      </c>
      <c r="F284" s="8">
        <v>381393.72</v>
      </c>
      <c r="G284" s="8">
        <v>270.37</v>
      </c>
      <c r="H284" s="8">
        <f t="shared" si="71"/>
        <v>457672.46399999992</v>
      </c>
      <c r="I284" s="8">
        <f t="shared" si="72"/>
        <v>617857.8263999999</v>
      </c>
      <c r="J284" s="8">
        <v>617858</v>
      </c>
      <c r="K284" s="8">
        <v>417858</v>
      </c>
      <c r="L284" s="8"/>
      <c r="M284" s="8">
        <v>200000</v>
      </c>
      <c r="N284" s="8"/>
      <c r="O284" s="8">
        <f t="shared" si="63"/>
        <v>0</v>
      </c>
    </row>
    <row r="285" spans="1:15" ht="18" customHeight="1">
      <c r="A285" s="5">
        <v>247</v>
      </c>
      <c r="B285" s="5">
        <v>1694</v>
      </c>
      <c r="C285" s="6" t="s">
        <v>526</v>
      </c>
      <c r="D285" s="5">
        <v>11057</v>
      </c>
      <c r="E285" s="7" t="s">
        <v>287</v>
      </c>
      <c r="F285" s="8">
        <v>423161.57999999996</v>
      </c>
      <c r="G285" s="8">
        <v>309.42</v>
      </c>
      <c r="H285" s="8">
        <f t="shared" si="71"/>
        <v>507793.89599999995</v>
      </c>
      <c r="I285" s="8">
        <f t="shared" si="72"/>
        <v>685521.75959999999</v>
      </c>
      <c r="J285" s="8">
        <v>685522</v>
      </c>
      <c r="K285" s="8">
        <v>485522</v>
      </c>
      <c r="L285" s="8"/>
      <c r="M285" s="8">
        <v>200000</v>
      </c>
      <c r="N285" s="8"/>
      <c r="O285" s="8">
        <f t="shared" si="63"/>
        <v>0</v>
      </c>
    </row>
    <row r="286" spans="1:15" ht="18" customHeight="1">
      <c r="A286" s="5">
        <v>248</v>
      </c>
      <c r="B286" s="5">
        <v>3598</v>
      </c>
      <c r="C286" s="6" t="s">
        <v>527</v>
      </c>
      <c r="D286" s="5">
        <v>14001</v>
      </c>
      <c r="E286" s="7" t="s">
        <v>288</v>
      </c>
      <c r="F286" s="8">
        <v>519995.64</v>
      </c>
      <c r="G286" s="8">
        <v>371.53</v>
      </c>
      <c r="H286" s="8">
        <f t="shared" si="71"/>
        <v>623994.76799999992</v>
      </c>
      <c r="I286" s="8">
        <f t="shared" si="72"/>
        <v>842392.93679999991</v>
      </c>
      <c r="J286" s="8">
        <v>842393</v>
      </c>
      <c r="K286" s="8">
        <v>542393</v>
      </c>
      <c r="L286" s="8"/>
      <c r="M286" s="8">
        <v>300000</v>
      </c>
      <c r="N286" s="8"/>
      <c r="O286" s="8">
        <f t="shared" si="63"/>
        <v>0</v>
      </c>
    </row>
    <row r="287" spans="1:15" ht="18" customHeight="1">
      <c r="A287" s="5">
        <v>249</v>
      </c>
      <c r="B287" s="5">
        <v>964</v>
      </c>
      <c r="C287" s="6" t="s">
        <v>528</v>
      </c>
      <c r="D287" s="5">
        <v>14655</v>
      </c>
      <c r="E287" s="7" t="s">
        <v>289</v>
      </c>
      <c r="F287" s="8">
        <v>211098.86</v>
      </c>
      <c r="G287" s="8">
        <v>227.48</v>
      </c>
      <c r="H287" s="8">
        <f t="shared" si="71"/>
        <v>253318.63199999998</v>
      </c>
      <c r="I287" s="8">
        <f t="shared" si="72"/>
        <v>341980.15319999994</v>
      </c>
      <c r="J287" s="8">
        <v>341980</v>
      </c>
      <c r="K287" s="8"/>
      <c r="L287" s="8">
        <v>241980</v>
      </c>
      <c r="M287" s="8"/>
      <c r="N287" s="8">
        <v>100000</v>
      </c>
      <c r="O287" s="8">
        <f t="shared" si="63"/>
        <v>0</v>
      </c>
    </row>
    <row r="288" spans="1:15" ht="18" customHeight="1">
      <c r="A288" s="10" t="s">
        <v>12</v>
      </c>
      <c r="B288" s="11"/>
      <c r="C288" s="12"/>
      <c r="D288" s="11" t="s">
        <v>12</v>
      </c>
      <c r="E288" s="13" t="s">
        <v>290</v>
      </c>
      <c r="F288" s="14">
        <f>SUM(F280:F287)</f>
        <v>2635838.71</v>
      </c>
      <c r="G288" s="14">
        <v>271.19</v>
      </c>
      <c r="H288" s="14">
        <f t="shared" si="71"/>
        <v>3163006.4519999996</v>
      </c>
      <c r="I288" s="14">
        <f t="shared" si="72"/>
        <v>4270058.7101999996</v>
      </c>
      <c r="J288" s="14">
        <f>SUM(J280:J287)</f>
        <v>4358228</v>
      </c>
      <c r="K288" s="14">
        <f t="shared" ref="K288:O288" si="77">SUM(K280:K287)</f>
        <v>2008790</v>
      </c>
      <c r="L288" s="14">
        <f t="shared" si="77"/>
        <v>1042438</v>
      </c>
      <c r="M288" s="14">
        <f t="shared" si="77"/>
        <v>913000</v>
      </c>
      <c r="N288" s="14">
        <f t="shared" si="77"/>
        <v>394000</v>
      </c>
      <c r="O288" s="14">
        <f t="shared" si="77"/>
        <v>0</v>
      </c>
    </row>
    <row r="289" spans="1:15" ht="21" customHeight="1">
      <c r="A289" s="15"/>
      <c r="B289" s="16"/>
      <c r="C289" s="17"/>
      <c r="D289" s="16" t="s">
        <v>12</v>
      </c>
      <c r="E289" s="20" t="s">
        <v>291</v>
      </c>
      <c r="F289" s="19">
        <f>F288+F279+F272+F262+F254+F246+F237</f>
        <v>17621923.109999999</v>
      </c>
      <c r="G289" s="19">
        <v>260.17</v>
      </c>
      <c r="H289" s="19">
        <f t="shared" si="71"/>
        <v>21146307.732000001</v>
      </c>
      <c r="I289" s="19">
        <f t="shared" si="72"/>
        <v>28547515.438200001</v>
      </c>
      <c r="J289" s="19">
        <f>J288+J279+J272+J262+J254+J246+J237</f>
        <v>28915080.317199998</v>
      </c>
      <c r="K289" s="19">
        <f t="shared" ref="K289:O289" si="78">K288+K279+K272+K262+K254+K246+K237</f>
        <v>6811650</v>
      </c>
      <c r="L289" s="19">
        <f t="shared" si="78"/>
        <v>9103700</v>
      </c>
      <c r="M289" s="19">
        <f t="shared" si="78"/>
        <v>7967871</v>
      </c>
      <c r="N289" s="19">
        <f t="shared" si="78"/>
        <v>5035831</v>
      </c>
      <c r="O289" s="19">
        <f t="shared" si="78"/>
        <v>3971.6827999995439</v>
      </c>
    </row>
    <row r="290" spans="1:15">
      <c r="A290" s="21" t="s">
        <v>12</v>
      </c>
      <c r="B290" s="21" t="s">
        <v>12</v>
      </c>
      <c r="C290" s="22" t="s">
        <v>12</v>
      </c>
      <c r="D290" s="23"/>
      <c r="E290" s="24" t="s">
        <v>292</v>
      </c>
      <c r="F290" s="25">
        <f>F289+F229+F176+F114+F60</f>
        <v>87647863.930000007</v>
      </c>
      <c r="G290" s="25">
        <v>261.7</v>
      </c>
      <c r="H290" s="25">
        <f t="shared" si="71"/>
        <v>105177436.71600002</v>
      </c>
      <c r="I290" s="25">
        <f t="shared" si="72"/>
        <v>141989539.56660002</v>
      </c>
      <c r="J290" s="25">
        <f>J289+J229+J176+J114+J60</f>
        <v>145511531.67416218</v>
      </c>
      <c r="K290" s="25">
        <f t="shared" ref="K290:O290" si="79">K289+K229+K176+K114+K60</f>
        <v>28484361</v>
      </c>
      <c r="L290" s="25">
        <f t="shared" si="79"/>
        <v>40435478</v>
      </c>
      <c r="M290" s="25">
        <f t="shared" si="79"/>
        <v>52654963.6818</v>
      </c>
      <c r="N290" s="25">
        <f t="shared" si="79"/>
        <v>24443607</v>
      </c>
      <c r="O290" s="25">
        <f t="shared" si="79"/>
        <v>506878.00763782003</v>
      </c>
    </row>
    <row r="291" spans="1:15">
      <c r="C291" s="9"/>
    </row>
  </sheetData>
  <mergeCells count="1">
    <mergeCell ref="A1:J1"/>
  </mergeCells>
  <conditionalFormatting sqref="G3:G290">
    <cfRule type="cellIs" dxfId="1" priority="1" operator="lessThan">
      <formula>220</formula>
    </cfRule>
  </conditionalFormatting>
  <pageMargins left="0.25" right="0.25" top="0.75" bottom="0.75" header="0.3" footer="0.3"/>
  <pageSetup paperSize="9" scale="85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91"/>
  <sheetViews>
    <sheetView showGridLines="0" tabSelected="1" zoomScaleNormal="100" workbookViewId="0">
      <pane xSplit="4" ySplit="2" topLeftCell="E3" activePane="bottomRight" state="frozen"/>
      <selection pane="topRight" activeCell="G1" sqref="G1"/>
      <selection pane="bottomLeft" activeCell="A3" sqref="A3"/>
      <selection pane="bottomRight" activeCell="P156" sqref="P156"/>
    </sheetView>
  </sheetViews>
  <sheetFormatPr defaultColWidth="9.140625" defaultRowHeight="15"/>
  <cols>
    <col min="1" max="1" width="4.85546875" style="4" customWidth="1"/>
    <col min="2" max="2" width="7.5703125" style="4" customWidth="1"/>
    <col min="3" max="3" width="19.5703125" style="4" customWidth="1"/>
    <col min="4" max="4" width="7.28515625" style="9" hidden="1" customWidth="1"/>
    <col min="5" max="5" width="20.85546875" style="9" customWidth="1"/>
    <col min="6" max="6" width="12.140625" style="9" hidden="1" customWidth="1"/>
    <col min="7" max="7" width="5.42578125" style="9" hidden="1" customWidth="1"/>
    <col min="8" max="8" width="10.140625" style="9" hidden="1" customWidth="1"/>
    <col min="9" max="9" width="13.5703125" style="9" hidden="1" customWidth="1"/>
    <col min="10" max="10" width="10.42578125" style="9" customWidth="1"/>
    <col min="11" max="18" width="9.85546875" style="9" customWidth="1"/>
    <col min="19" max="19" width="9.42578125" style="4" bestFit="1" customWidth="1"/>
    <col min="20" max="16384" width="9.140625" style="9"/>
  </cols>
  <sheetData>
    <row r="1" spans="1:19" s="1" customFormat="1" ht="21">
      <c r="A1" s="40" t="s">
        <v>534</v>
      </c>
      <c r="B1" s="40"/>
      <c r="C1" s="40"/>
      <c r="D1" s="40"/>
      <c r="E1" s="40"/>
      <c r="F1" s="40"/>
      <c r="G1" s="40"/>
      <c r="H1" s="40"/>
      <c r="I1" s="40"/>
      <c r="J1" s="40"/>
      <c r="K1" s="27"/>
      <c r="L1" s="27"/>
      <c r="M1" s="27"/>
      <c r="N1" s="27"/>
      <c r="O1" s="27"/>
      <c r="P1" s="27"/>
      <c r="Q1" s="27"/>
      <c r="R1" s="27"/>
      <c r="S1" s="36"/>
    </row>
    <row r="2" spans="1:19" s="4" customFormat="1" ht="38.25" customHeight="1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2" t="s">
        <v>532</v>
      </c>
      <c r="G2" s="2" t="s">
        <v>535</v>
      </c>
      <c r="H2" s="2" t="s">
        <v>533</v>
      </c>
      <c r="I2" s="2" t="s">
        <v>538</v>
      </c>
      <c r="J2" s="30" t="s">
        <v>537</v>
      </c>
      <c r="K2" s="28">
        <v>46164</v>
      </c>
      <c r="L2" s="39" t="s">
        <v>540</v>
      </c>
      <c r="M2" s="28">
        <v>46165</v>
      </c>
      <c r="N2" s="39" t="s">
        <v>541</v>
      </c>
      <c r="O2" s="28">
        <v>46166</v>
      </c>
      <c r="P2" s="39" t="s">
        <v>542</v>
      </c>
      <c r="Q2" s="39" t="s">
        <v>539</v>
      </c>
      <c r="R2" s="28">
        <v>46167</v>
      </c>
      <c r="S2" s="2" t="s">
        <v>531</v>
      </c>
    </row>
    <row r="3" spans="1:19" ht="18" customHeight="1">
      <c r="A3" s="5">
        <v>1</v>
      </c>
      <c r="B3" s="5">
        <v>6903</v>
      </c>
      <c r="C3" s="6" t="s">
        <v>293</v>
      </c>
      <c r="D3" s="5">
        <v>11096</v>
      </c>
      <c r="E3" s="7" t="s">
        <v>5</v>
      </c>
      <c r="F3" s="8">
        <v>217017.51</v>
      </c>
      <c r="G3" s="8">
        <v>168.94</v>
      </c>
      <c r="H3" s="8">
        <f>(F3/5)*6</f>
        <v>260421.01199999999</v>
      </c>
      <c r="I3" s="8">
        <f>(H3*35%)+H3</f>
        <v>351568.36619999999</v>
      </c>
      <c r="J3" s="5">
        <v>390632</v>
      </c>
      <c r="K3" s="5"/>
      <c r="L3" s="5">
        <v>0</v>
      </c>
      <c r="M3" s="5">
        <v>312504</v>
      </c>
      <c r="N3" s="8">
        <f>VLOOKUP(D3,[1]Report!$B:$E,4,0)</f>
        <v>61037.78</v>
      </c>
      <c r="O3" s="5"/>
      <c r="P3" s="5">
        <v>0</v>
      </c>
      <c r="Q3" s="8">
        <f>(P3+N3+L3)/J3%</f>
        <v>15.62539167298122</v>
      </c>
      <c r="R3" s="5">
        <v>78128</v>
      </c>
      <c r="S3" s="8">
        <f>(K3+M3+O3+R3)-J3</f>
        <v>0</v>
      </c>
    </row>
    <row r="4" spans="1:19" ht="18" customHeight="1">
      <c r="A4" s="5">
        <v>2</v>
      </c>
      <c r="B4" s="5">
        <v>1869</v>
      </c>
      <c r="C4" s="6" t="s">
        <v>294</v>
      </c>
      <c r="D4" s="5">
        <v>11095</v>
      </c>
      <c r="E4" s="7" t="s">
        <v>6</v>
      </c>
      <c r="F4" s="8">
        <v>304649.32</v>
      </c>
      <c r="G4" s="8">
        <v>250.78</v>
      </c>
      <c r="H4" s="8">
        <f t="shared" ref="H4:H67" si="0">(F4/5)*6</f>
        <v>365579.18400000001</v>
      </c>
      <c r="I4" s="8">
        <f t="shared" ref="I4:I67" si="1">(H4*35%)+H4</f>
        <v>493531.89840000001</v>
      </c>
      <c r="J4" s="8">
        <f>+I4</f>
        <v>493531.89840000001</v>
      </c>
      <c r="K4" s="8"/>
      <c r="L4" s="5">
        <v>0</v>
      </c>
      <c r="M4" s="8">
        <v>420000</v>
      </c>
      <c r="N4" s="8">
        <f>VLOOKUP(D4,[1]Report!$B:$E,4,0)</f>
        <v>70460.86</v>
      </c>
      <c r="O4" s="8"/>
      <c r="P4" s="5">
        <v>0</v>
      </c>
      <c r="Q4" s="8">
        <f t="shared" ref="Q4:Q67" si="2">(P4+N4+L4)/J4%</f>
        <v>14.276860366762465</v>
      </c>
      <c r="R4" s="8">
        <v>73532</v>
      </c>
      <c r="S4" s="8">
        <f t="shared" ref="S4:S58" si="3">(K4+M4+O4+R4)-J4</f>
        <v>0.1015999999945052</v>
      </c>
    </row>
    <row r="5" spans="1:19" ht="18" customHeight="1">
      <c r="A5" s="5">
        <v>3</v>
      </c>
      <c r="B5" s="5">
        <v>1664</v>
      </c>
      <c r="C5" s="6" t="s">
        <v>295</v>
      </c>
      <c r="D5" s="5">
        <v>11097</v>
      </c>
      <c r="E5" s="7" t="s">
        <v>7</v>
      </c>
      <c r="F5" s="8">
        <v>345483.41000000003</v>
      </c>
      <c r="G5" s="8">
        <v>264.58</v>
      </c>
      <c r="H5" s="8">
        <f t="shared" si="0"/>
        <v>414580.092</v>
      </c>
      <c r="I5" s="8">
        <f t="shared" si="1"/>
        <v>559683.12419999996</v>
      </c>
      <c r="J5" s="8">
        <f>+I5</f>
        <v>559683.12419999996</v>
      </c>
      <c r="K5" s="8"/>
      <c r="L5" s="5">
        <v>0</v>
      </c>
      <c r="M5" s="8">
        <v>455000</v>
      </c>
      <c r="N5" s="8">
        <f>VLOOKUP(D5,[1]Report!$B:$E,4,0)</f>
        <v>163602.41</v>
      </c>
      <c r="O5" s="8"/>
      <c r="P5" s="5">
        <v>0</v>
      </c>
      <c r="Q5" s="8">
        <f t="shared" si="2"/>
        <v>29.231256567517573</v>
      </c>
      <c r="R5" s="8">
        <v>104683</v>
      </c>
      <c r="S5" s="8">
        <f t="shared" si="3"/>
        <v>-0.12419999996200204</v>
      </c>
    </row>
    <row r="6" spans="1:19" ht="18" customHeight="1">
      <c r="A6" s="5">
        <v>4</v>
      </c>
      <c r="B6" s="5">
        <v>7650</v>
      </c>
      <c r="C6" s="6" t="s">
        <v>296</v>
      </c>
      <c r="D6" s="5">
        <v>14544</v>
      </c>
      <c r="E6" s="7" t="s">
        <v>8</v>
      </c>
      <c r="F6" s="8">
        <v>244222.83000000002</v>
      </c>
      <c r="G6" s="8">
        <v>180.79</v>
      </c>
      <c r="H6" s="8">
        <f t="shared" si="0"/>
        <v>293067.39600000007</v>
      </c>
      <c r="I6" s="8">
        <f t="shared" si="1"/>
        <v>395640.98460000008</v>
      </c>
      <c r="J6" s="5">
        <v>390631</v>
      </c>
      <c r="K6" s="5"/>
      <c r="L6" s="5">
        <v>0</v>
      </c>
      <c r="M6" s="5">
        <v>320000</v>
      </c>
      <c r="N6" s="8">
        <f>VLOOKUP(D6,[1]Report!$B:$E,4,0)</f>
        <v>91563.54</v>
      </c>
      <c r="O6" s="5"/>
      <c r="P6" s="5">
        <v>0</v>
      </c>
      <c r="Q6" s="8">
        <f t="shared" si="2"/>
        <v>23.439906203040721</v>
      </c>
      <c r="R6" s="5">
        <v>70631</v>
      </c>
      <c r="S6" s="8">
        <f t="shared" si="3"/>
        <v>0</v>
      </c>
    </row>
    <row r="7" spans="1:19" ht="18" customHeight="1">
      <c r="A7" s="5">
        <v>5</v>
      </c>
      <c r="B7" s="5">
        <v>3476</v>
      </c>
      <c r="C7" s="6" t="s">
        <v>297</v>
      </c>
      <c r="D7" s="5">
        <v>12949</v>
      </c>
      <c r="E7" s="7" t="s">
        <v>9</v>
      </c>
      <c r="F7" s="8">
        <v>268437.76000000001</v>
      </c>
      <c r="G7" s="8">
        <v>218.14</v>
      </c>
      <c r="H7" s="8">
        <f t="shared" si="0"/>
        <v>322125.31200000003</v>
      </c>
      <c r="I7" s="8">
        <f t="shared" si="1"/>
        <v>434869.17120000004</v>
      </c>
      <c r="J7" s="5">
        <v>450000</v>
      </c>
      <c r="K7" s="5">
        <v>125000</v>
      </c>
      <c r="L7" s="5">
        <v>0</v>
      </c>
      <c r="M7" s="5">
        <v>150000</v>
      </c>
      <c r="N7" s="8">
        <f>VLOOKUP(D7,[1]Report!$B:$E,4,0)</f>
        <v>92028.54</v>
      </c>
      <c r="O7" s="5">
        <v>130000</v>
      </c>
      <c r="P7" s="5">
        <v>0</v>
      </c>
      <c r="Q7" s="8">
        <f t="shared" si="2"/>
        <v>20.450786666666666</v>
      </c>
      <c r="R7" s="5">
        <v>45000</v>
      </c>
      <c r="S7" s="8">
        <f t="shared" si="3"/>
        <v>0</v>
      </c>
    </row>
    <row r="8" spans="1:19" ht="18" customHeight="1">
      <c r="A8" s="5">
        <v>6</v>
      </c>
      <c r="B8" s="5">
        <v>3005</v>
      </c>
      <c r="C8" s="6" t="s">
        <v>298</v>
      </c>
      <c r="D8" s="5">
        <v>11026</v>
      </c>
      <c r="E8" s="7" t="s">
        <v>10</v>
      </c>
      <c r="F8" s="8">
        <v>203054.75</v>
      </c>
      <c r="G8" s="8">
        <v>213.19</v>
      </c>
      <c r="H8" s="8">
        <f t="shared" si="0"/>
        <v>243665.69999999998</v>
      </c>
      <c r="I8" s="8">
        <f t="shared" si="1"/>
        <v>328948.69499999995</v>
      </c>
      <c r="J8" s="5">
        <v>400000</v>
      </c>
      <c r="K8" s="5">
        <v>330000</v>
      </c>
      <c r="L8" s="5">
        <v>137494</v>
      </c>
      <c r="M8" s="5"/>
      <c r="N8" s="8">
        <f>VLOOKUP(D8,[1]Report!$B:$E,4,0)</f>
        <v>0</v>
      </c>
      <c r="O8" s="5">
        <v>70000</v>
      </c>
      <c r="P8" s="8">
        <v>125498.91</v>
      </c>
      <c r="Q8" s="8">
        <f t="shared" si="2"/>
        <v>65.748227500000013</v>
      </c>
      <c r="R8" s="5"/>
      <c r="S8" s="8">
        <f t="shared" si="3"/>
        <v>0</v>
      </c>
    </row>
    <row r="9" spans="1:19" ht="18" customHeight="1">
      <c r="A9" s="5">
        <v>7</v>
      </c>
      <c r="B9" s="5">
        <v>3977</v>
      </c>
      <c r="C9" s="6" t="s">
        <v>299</v>
      </c>
      <c r="D9" s="5">
        <v>13055</v>
      </c>
      <c r="E9" s="7" t="s">
        <v>11</v>
      </c>
      <c r="F9" s="8">
        <v>120065.52</v>
      </c>
      <c r="G9" s="8">
        <v>122.64</v>
      </c>
      <c r="H9" s="8">
        <f t="shared" si="0"/>
        <v>144078.62400000001</v>
      </c>
      <c r="I9" s="8">
        <f t="shared" si="1"/>
        <v>194506.14240000001</v>
      </c>
      <c r="J9" s="5">
        <v>330000</v>
      </c>
      <c r="K9" s="5">
        <v>265000</v>
      </c>
      <c r="L9" s="5">
        <v>88489</v>
      </c>
      <c r="M9" s="5"/>
      <c r="N9" s="8">
        <v>0</v>
      </c>
      <c r="O9" s="5">
        <v>65000</v>
      </c>
      <c r="P9" s="8">
        <v>110789.71</v>
      </c>
      <c r="Q9" s="8">
        <f t="shared" si="2"/>
        <v>60.387487878787887</v>
      </c>
      <c r="R9" s="5"/>
      <c r="S9" s="8">
        <f t="shared" si="3"/>
        <v>0</v>
      </c>
    </row>
    <row r="10" spans="1:19" ht="18" customHeight="1">
      <c r="A10" s="10" t="s">
        <v>12</v>
      </c>
      <c r="B10" s="11"/>
      <c r="C10" s="12"/>
      <c r="D10" s="11" t="s">
        <v>12</v>
      </c>
      <c r="E10" s="13" t="s">
        <v>13</v>
      </c>
      <c r="F10" s="14">
        <f>SUM(F3:F9)</f>
        <v>1702931.1</v>
      </c>
      <c r="G10" s="14">
        <v>205.63</v>
      </c>
      <c r="H10" s="14">
        <f t="shared" si="0"/>
        <v>2043517.3200000003</v>
      </c>
      <c r="I10" s="14">
        <f t="shared" si="1"/>
        <v>2758748.3820000002</v>
      </c>
      <c r="J10" s="14">
        <f>SUM(J3:J9)</f>
        <v>3014478.0225999998</v>
      </c>
      <c r="K10" s="14">
        <f>SUM(K3:K9)</f>
        <v>720000</v>
      </c>
      <c r="L10" s="14">
        <f>SUM(L3:L9)</f>
        <v>225983</v>
      </c>
      <c r="M10" s="14">
        <f t="shared" ref="M10:S10" si="4">SUM(M3:M9)</f>
        <v>1657504</v>
      </c>
      <c r="N10" s="14">
        <f t="shared" si="4"/>
        <v>478693.13</v>
      </c>
      <c r="O10" s="14">
        <f t="shared" si="4"/>
        <v>265000</v>
      </c>
      <c r="P10" s="14">
        <f t="shared" si="4"/>
        <v>236288.62</v>
      </c>
      <c r="Q10" s="14">
        <f t="shared" si="2"/>
        <v>31.214848572304867</v>
      </c>
      <c r="R10" s="14">
        <f t="shared" si="4"/>
        <v>371974</v>
      </c>
      <c r="S10" s="14">
        <f t="shared" si="4"/>
        <v>-2.2599999967496842E-2</v>
      </c>
    </row>
    <row r="11" spans="1:19" ht="18" customHeight="1">
      <c r="A11" s="5">
        <v>8</v>
      </c>
      <c r="B11" s="5">
        <v>1283</v>
      </c>
      <c r="C11" s="6" t="s">
        <v>300</v>
      </c>
      <c r="D11" s="5">
        <v>11080</v>
      </c>
      <c r="E11" s="7" t="s">
        <v>14</v>
      </c>
      <c r="F11" s="8">
        <v>113981.59</v>
      </c>
      <c r="G11" s="8">
        <v>89.88</v>
      </c>
      <c r="H11" s="8">
        <f t="shared" si="0"/>
        <v>136777.908</v>
      </c>
      <c r="I11" s="8">
        <f t="shared" si="1"/>
        <v>184650.1758</v>
      </c>
      <c r="J11" s="5">
        <v>400000</v>
      </c>
      <c r="K11" s="5"/>
      <c r="L11" s="5">
        <v>0</v>
      </c>
      <c r="M11" s="5">
        <v>400000</v>
      </c>
      <c r="N11" s="8">
        <v>238703.2</v>
      </c>
      <c r="O11" s="5"/>
      <c r="P11" s="8">
        <v>0</v>
      </c>
      <c r="Q11" s="8">
        <f t="shared" si="2"/>
        <v>59.675800000000002</v>
      </c>
      <c r="R11" s="5"/>
      <c r="S11" s="8">
        <f t="shared" si="3"/>
        <v>0</v>
      </c>
    </row>
    <row r="12" spans="1:19" ht="18" customHeight="1">
      <c r="A12" s="5">
        <v>9</v>
      </c>
      <c r="B12" s="5">
        <v>1225</v>
      </c>
      <c r="C12" s="6" t="s">
        <v>301</v>
      </c>
      <c r="D12" s="5">
        <v>11078</v>
      </c>
      <c r="E12" s="7" t="s">
        <v>15</v>
      </c>
      <c r="F12" s="8">
        <v>181847.86</v>
      </c>
      <c r="G12" s="8">
        <v>135.62</v>
      </c>
      <c r="H12" s="8">
        <f t="shared" si="0"/>
        <v>218217.432</v>
      </c>
      <c r="I12" s="8">
        <f t="shared" si="1"/>
        <v>294593.53320000001</v>
      </c>
      <c r="J12" s="5">
        <v>350000</v>
      </c>
      <c r="K12" s="5"/>
      <c r="L12" s="5">
        <v>0</v>
      </c>
      <c r="M12" s="5">
        <v>350000</v>
      </c>
      <c r="N12" s="8">
        <v>344783.77</v>
      </c>
      <c r="O12" s="5"/>
      <c r="P12" s="8">
        <v>0</v>
      </c>
      <c r="Q12" s="8">
        <f t="shared" si="2"/>
        <v>98.509648571428571</v>
      </c>
      <c r="R12" s="5"/>
      <c r="S12" s="8">
        <f t="shared" si="3"/>
        <v>0</v>
      </c>
    </row>
    <row r="13" spans="1:19" ht="18" customHeight="1">
      <c r="A13" s="5">
        <v>10</v>
      </c>
      <c r="B13" s="5">
        <v>1884</v>
      </c>
      <c r="C13" s="6" t="s">
        <v>302</v>
      </c>
      <c r="D13" s="5">
        <v>11083</v>
      </c>
      <c r="E13" s="7" t="s">
        <v>16</v>
      </c>
      <c r="F13" s="8">
        <v>162267.42000000001</v>
      </c>
      <c r="G13" s="8">
        <v>104.67</v>
      </c>
      <c r="H13" s="8">
        <f t="shared" si="0"/>
        <v>194720.90400000004</v>
      </c>
      <c r="I13" s="8">
        <f t="shared" si="1"/>
        <v>262873.22040000005</v>
      </c>
      <c r="J13" s="5">
        <v>350000</v>
      </c>
      <c r="K13" s="5"/>
      <c r="L13" s="5">
        <v>0</v>
      </c>
      <c r="M13" s="5">
        <v>350000</v>
      </c>
      <c r="N13" s="8">
        <v>240017.23</v>
      </c>
      <c r="O13" s="5"/>
      <c r="P13" s="8">
        <v>0</v>
      </c>
      <c r="Q13" s="8">
        <f t="shared" si="2"/>
        <v>68.576351428571428</v>
      </c>
      <c r="R13" s="5"/>
      <c r="S13" s="8">
        <f t="shared" si="3"/>
        <v>0</v>
      </c>
    </row>
    <row r="14" spans="1:19" ht="18" customHeight="1">
      <c r="A14" s="5">
        <v>11</v>
      </c>
      <c r="B14" s="5">
        <v>1570</v>
      </c>
      <c r="C14" s="6" t="s">
        <v>303</v>
      </c>
      <c r="D14" s="5">
        <v>11084</v>
      </c>
      <c r="E14" s="7" t="s">
        <v>17</v>
      </c>
      <c r="F14" s="8">
        <v>94191.65</v>
      </c>
      <c r="G14" s="8">
        <v>70.5</v>
      </c>
      <c r="H14" s="8">
        <f t="shared" si="0"/>
        <v>113029.97999999998</v>
      </c>
      <c r="I14" s="8">
        <f t="shared" si="1"/>
        <v>152590.47299999997</v>
      </c>
      <c r="J14" s="5">
        <v>320000</v>
      </c>
      <c r="K14" s="5"/>
      <c r="L14" s="5">
        <v>0</v>
      </c>
      <c r="M14" s="5">
        <v>320000</v>
      </c>
      <c r="N14" s="8">
        <v>238654.55</v>
      </c>
      <c r="O14" s="5"/>
      <c r="P14" s="8">
        <v>0</v>
      </c>
      <c r="Q14" s="8">
        <f t="shared" si="2"/>
        <v>74.579546874999991</v>
      </c>
      <c r="R14" s="5"/>
      <c r="S14" s="8">
        <f t="shared" si="3"/>
        <v>0</v>
      </c>
    </row>
    <row r="15" spans="1:19" ht="18" customHeight="1">
      <c r="A15" s="5">
        <v>12</v>
      </c>
      <c r="B15" s="5">
        <v>1099</v>
      </c>
      <c r="C15" s="6" t="s">
        <v>304</v>
      </c>
      <c r="D15" s="5">
        <v>13036</v>
      </c>
      <c r="E15" s="7" t="s">
        <v>18</v>
      </c>
      <c r="F15" s="8">
        <v>134690.13</v>
      </c>
      <c r="G15" s="8">
        <v>94.9</v>
      </c>
      <c r="H15" s="8">
        <f t="shared" si="0"/>
        <v>161628.15600000002</v>
      </c>
      <c r="I15" s="8">
        <f t="shared" si="1"/>
        <v>218198.01060000004</v>
      </c>
      <c r="J15" s="5">
        <v>500000</v>
      </c>
      <c r="K15" s="5"/>
      <c r="L15" s="5">
        <v>0</v>
      </c>
      <c r="M15" s="5">
        <v>500000</v>
      </c>
      <c r="N15" s="8">
        <v>359432.81</v>
      </c>
      <c r="O15" s="5"/>
      <c r="P15" s="8">
        <v>0</v>
      </c>
      <c r="Q15" s="8">
        <f t="shared" si="2"/>
        <v>71.886561999999998</v>
      </c>
      <c r="R15" s="5"/>
      <c r="S15" s="8">
        <f t="shared" si="3"/>
        <v>0</v>
      </c>
    </row>
    <row r="16" spans="1:19" ht="18" customHeight="1">
      <c r="A16" s="5">
        <v>13</v>
      </c>
      <c r="B16" s="5">
        <v>5292</v>
      </c>
      <c r="C16" s="6" t="s">
        <v>305</v>
      </c>
      <c r="D16" s="5">
        <v>12975</v>
      </c>
      <c r="E16" s="7" t="s">
        <v>19</v>
      </c>
      <c r="F16" s="8">
        <v>300355.20999999996</v>
      </c>
      <c r="G16" s="8">
        <v>243.91</v>
      </c>
      <c r="H16" s="8">
        <f t="shared" si="0"/>
        <v>360426.25199999998</v>
      </c>
      <c r="I16" s="8">
        <f t="shared" si="1"/>
        <v>486575.44019999995</v>
      </c>
      <c r="J16" s="5">
        <v>400000</v>
      </c>
      <c r="K16" s="8"/>
      <c r="L16" s="5">
        <v>0</v>
      </c>
      <c r="M16" s="8">
        <v>350000</v>
      </c>
      <c r="N16" s="8">
        <v>226480.23</v>
      </c>
      <c r="O16" s="8"/>
      <c r="P16" s="8">
        <v>0</v>
      </c>
      <c r="Q16" s="8">
        <f t="shared" si="2"/>
        <v>56.620057500000001</v>
      </c>
      <c r="R16" s="8">
        <v>50000</v>
      </c>
      <c r="S16" s="8">
        <f t="shared" si="3"/>
        <v>0</v>
      </c>
    </row>
    <row r="17" spans="1:19" ht="18" customHeight="1">
      <c r="A17" s="10" t="s">
        <v>12</v>
      </c>
      <c r="B17" s="11"/>
      <c r="C17" s="12"/>
      <c r="D17" s="11" t="s">
        <v>12</v>
      </c>
      <c r="E17" s="13" t="s">
        <v>20</v>
      </c>
      <c r="F17" s="14">
        <f>SUM(F11:F16)</f>
        <v>987333.86</v>
      </c>
      <c r="G17" s="14">
        <v>123.35</v>
      </c>
      <c r="H17" s="14">
        <f t="shared" si="0"/>
        <v>1184800.632</v>
      </c>
      <c r="I17" s="14">
        <f t="shared" si="1"/>
        <v>1599480.8532</v>
      </c>
      <c r="J17" s="14">
        <f>SUM(J11:J16)</f>
        <v>2320000</v>
      </c>
      <c r="K17" s="14">
        <f t="shared" ref="K17:S17" si="5">SUM(K11:K16)</f>
        <v>0</v>
      </c>
      <c r="L17" s="14">
        <f t="shared" si="5"/>
        <v>0</v>
      </c>
      <c r="M17" s="14">
        <f t="shared" si="5"/>
        <v>2270000</v>
      </c>
      <c r="N17" s="14">
        <f t="shared" si="5"/>
        <v>1648071.79</v>
      </c>
      <c r="O17" s="14">
        <f t="shared" si="5"/>
        <v>0</v>
      </c>
      <c r="P17" s="14">
        <f t="shared" si="5"/>
        <v>0</v>
      </c>
      <c r="Q17" s="14">
        <f t="shared" si="2"/>
        <v>71.037577155172414</v>
      </c>
      <c r="R17" s="14">
        <f t="shared" si="5"/>
        <v>50000</v>
      </c>
      <c r="S17" s="14">
        <f t="shared" si="5"/>
        <v>0</v>
      </c>
    </row>
    <row r="18" spans="1:19" ht="18" customHeight="1">
      <c r="A18" s="5">
        <v>14</v>
      </c>
      <c r="B18" s="5">
        <v>3429</v>
      </c>
      <c r="C18" s="6" t="s">
        <v>306</v>
      </c>
      <c r="D18" s="5">
        <v>11092</v>
      </c>
      <c r="E18" s="7" t="s">
        <v>21</v>
      </c>
      <c r="F18" s="8">
        <v>236617.4</v>
      </c>
      <c r="G18" s="8">
        <v>231.74</v>
      </c>
      <c r="H18" s="8">
        <f t="shared" si="0"/>
        <v>283940.88</v>
      </c>
      <c r="I18" s="8">
        <f t="shared" si="1"/>
        <v>383320.18799999997</v>
      </c>
      <c r="J18" s="8">
        <f>+I18</f>
        <v>383320.18799999997</v>
      </c>
      <c r="K18" s="8"/>
      <c r="L18" s="5">
        <v>0</v>
      </c>
      <c r="M18" s="8">
        <v>100000</v>
      </c>
      <c r="N18" s="8">
        <v>84107.93</v>
      </c>
      <c r="O18" s="8"/>
      <c r="P18" s="8">
        <v>0</v>
      </c>
      <c r="Q18" s="8">
        <f t="shared" si="2"/>
        <v>21.941951567653934</v>
      </c>
      <c r="R18" s="8">
        <v>283320</v>
      </c>
      <c r="S18" s="8">
        <f t="shared" si="3"/>
        <v>-0.18799999996554106</v>
      </c>
    </row>
    <row r="19" spans="1:19" ht="18" customHeight="1">
      <c r="A19" s="5">
        <v>15</v>
      </c>
      <c r="B19" s="5">
        <v>0</v>
      </c>
      <c r="C19" s="29" t="s">
        <v>307</v>
      </c>
      <c r="D19" s="5">
        <v>11098</v>
      </c>
      <c r="E19" s="7" t="s">
        <v>22</v>
      </c>
      <c r="F19" s="8">
        <v>185017.38999999998</v>
      </c>
      <c r="G19" s="8">
        <v>176.88</v>
      </c>
      <c r="H19" s="8">
        <f t="shared" si="0"/>
        <v>222020.86799999996</v>
      </c>
      <c r="I19" s="8">
        <f t="shared" si="1"/>
        <v>299728.17179999995</v>
      </c>
      <c r="J19" s="31">
        <v>369202</v>
      </c>
      <c r="K19" s="5"/>
      <c r="L19" s="5">
        <v>0</v>
      </c>
      <c r="M19" s="5">
        <v>170000</v>
      </c>
      <c r="N19" s="8">
        <v>107110.54</v>
      </c>
      <c r="O19" s="5"/>
      <c r="P19" s="8">
        <v>0</v>
      </c>
      <c r="Q19" s="8">
        <f t="shared" si="2"/>
        <v>29.01136505219365</v>
      </c>
      <c r="R19" s="5">
        <v>199202</v>
      </c>
      <c r="S19" s="8">
        <f t="shared" si="3"/>
        <v>0</v>
      </c>
    </row>
    <row r="20" spans="1:19" ht="18" customHeight="1">
      <c r="A20" s="5">
        <v>16</v>
      </c>
      <c r="B20" s="5">
        <v>5970</v>
      </c>
      <c r="C20" s="6" t="s">
        <v>308</v>
      </c>
      <c r="D20" s="5">
        <v>13330</v>
      </c>
      <c r="E20" s="7" t="s">
        <v>23</v>
      </c>
      <c r="F20" s="8">
        <v>205098.71</v>
      </c>
      <c r="G20" s="8">
        <v>205.29</v>
      </c>
      <c r="H20" s="8">
        <f t="shared" si="0"/>
        <v>246118.45199999999</v>
      </c>
      <c r="I20" s="8">
        <f t="shared" si="1"/>
        <v>332259.91019999998</v>
      </c>
      <c r="J20" s="32">
        <v>337222</v>
      </c>
      <c r="K20" s="5"/>
      <c r="L20" s="5">
        <v>0</v>
      </c>
      <c r="M20" s="5">
        <v>138000</v>
      </c>
      <c r="N20" s="8">
        <v>59094.34</v>
      </c>
      <c r="O20" s="5"/>
      <c r="P20" s="8">
        <v>0</v>
      </c>
      <c r="Q20" s="8">
        <f t="shared" si="2"/>
        <v>17.523868549501515</v>
      </c>
      <c r="R20" s="5">
        <v>199222</v>
      </c>
      <c r="S20" s="8">
        <f t="shared" si="3"/>
        <v>0</v>
      </c>
    </row>
    <row r="21" spans="1:19" ht="18" customHeight="1">
      <c r="A21" s="5">
        <v>17</v>
      </c>
      <c r="B21" s="5">
        <v>7614</v>
      </c>
      <c r="C21" s="6" t="s">
        <v>309</v>
      </c>
      <c r="D21" s="5">
        <v>14545</v>
      </c>
      <c r="E21" s="7" t="s">
        <v>24</v>
      </c>
      <c r="F21" s="8">
        <v>256149.35</v>
      </c>
      <c r="G21" s="8">
        <v>261.77</v>
      </c>
      <c r="H21" s="8">
        <f t="shared" si="0"/>
        <v>307379.22000000003</v>
      </c>
      <c r="I21" s="8">
        <f t="shared" si="1"/>
        <v>414961.94700000004</v>
      </c>
      <c r="J21" s="8">
        <f t="shared" ref="J21:J24" si="6">+I21</f>
        <v>414961.94700000004</v>
      </c>
      <c r="K21" s="8"/>
      <c r="L21" s="5">
        <v>0</v>
      </c>
      <c r="M21" s="8">
        <v>150000</v>
      </c>
      <c r="N21" s="8">
        <v>123944.33</v>
      </c>
      <c r="O21" s="8"/>
      <c r="P21" s="8">
        <v>0</v>
      </c>
      <c r="Q21" s="8">
        <f t="shared" si="2"/>
        <v>29.868842407373798</v>
      </c>
      <c r="R21" s="8">
        <v>264962</v>
      </c>
      <c r="S21" s="8">
        <f t="shared" si="3"/>
        <v>5.2999999956227839E-2</v>
      </c>
    </row>
    <row r="22" spans="1:19" ht="18" customHeight="1">
      <c r="A22" s="5">
        <v>18</v>
      </c>
      <c r="B22" s="5">
        <v>983</v>
      </c>
      <c r="C22" s="6" t="s">
        <v>310</v>
      </c>
      <c r="D22" s="5">
        <v>11093</v>
      </c>
      <c r="E22" s="7" t="s">
        <v>25</v>
      </c>
      <c r="F22" s="8">
        <v>456731.95999999996</v>
      </c>
      <c r="G22" s="8">
        <v>291.17</v>
      </c>
      <c r="H22" s="8">
        <f t="shared" si="0"/>
        <v>548078.35199999996</v>
      </c>
      <c r="I22" s="8">
        <f t="shared" si="1"/>
        <v>739905.77519999992</v>
      </c>
      <c r="J22" s="8">
        <f t="shared" si="6"/>
        <v>739905.77519999992</v>
      </c>
      <c r="K22" s="8">
        <v>340000</v>
      </c>
      <c r="L22" s="5">
        <v>198098</v>
      </c>
      <c r="M22" s="8"/>
      <c r="N22" s="8">
        <v>0</v>
      </c>
      <c r="O22" s="8">
        <v>399906</v>
      </c>
      <c r="P22" s="8">
        <v>311019.09000000003</v>
      </c>
      <c r="Q22" s="8">
        <f t="shared" si="2"/>
        <v>68.808368182067966</v>
      </c>
      <c r="R22" s="8"/>
      <c r="S22" s="8">
        <f t="shared" si="3"/>
        <v>0.22480000008363277</v>
      </c>
    </row>
    <row r="23" spans="1:19" ht="18" customHeight="1">
      <c r="A23" s="5">
        <v>19</v>
      </c>
      <c r="B23" s="5">
        <v>3004</v>
      </c>
      <c r="C23" s="6" t="s">
        <v>311</v>
      </c>
      <c r="D23" s="5">
        <v>11094</v>
      </c>
      <c r="E23" s="7" t="s">
        <v>26</v>
      </c>
      <c r="F23" s="8">
        <v>331395.21999999997</v>
      </c>
      <c r="G23" s="8">
        <v>223.29</v>
      </c>
      <c r="H23" s="8">
        <f t="shared" si="0"/>
        <v>397674.26399999997</v>
      </c>
      <c r="I23" s="8">
        <f t="shared" si="1"/>
        <v>536860.25639999995</v>
      </c>
      <c r="J23" s="8">
        <f t="shared" si="6"/>
        <v>536860.25639999995</v>
      </c>
      <c r="K23" s="8">
        <v>250000</v>
      </c>
      <c r="L23" s="5">
        <v>119315</v>
      </c>
      <c r="M23" s="8"/>
      <c r="N23" s="8">
        <v>0</v>
      </c>
      <c r="O23" s="8">
        <v>286860</v>
      </c>
      <c r="P23" s="8">
        <v>186493.53</v>
      </c>
      <c r="Q23" s="8">
        <f t="shared" si="2"/>
        <v>56.962408066979428</v>
      </c>
      <c r="R23" s="8"/>
      <c r="S23" s="8">
        <f t="shared" si="3"/>
        <v>-0.25639999995473772</v>
      </c>
    </row>
    <row r="24" spans="1:19" ht="18" customHeight="1">
      <c r="A24" s="5">
        <v>20</v>
      </c>
      <c r="B24" s="5">
        <v>1960</v>
      </c>
      <c r="C24" s="6" t="s">
        <v>312</v>
      </c>
      <c r="D24" s="5">
        <v>12291</v>
      </c>
      <c r="E24" s="7" t="s">
        <v>27</v>
      </c>
      <c r="F24" s="8">
        <v>431021.42000000004</v>
      </c>
      <c r="G24" s="8">
        <v>305.95</v>
      </c>
      <c r="H24" s="8">
        <f t="shared" si="0"/>
        <v>517225.70400000009</v>
      </c>
      <c r="I24" s="8">
        <f t="shared" si="1"/>
        <v>698254.70040000009</v>
      </c>
      <c r="J24" s="8">
        <f t="shared" si="6"/>
        <v>698254.70040000009</v>
      </c>
      <c r="K24" s="8"/>
      <c r="L24" s="5">
        <v>0</v>
      </c>
      <c r="M24" s="8">
        <v>400000</v>
      </c>
      <c r="N24" s="8">
        <v>218998.05</v>
      </c>
      <c r="O24" s="8"/>
      <c r="P24" s="8">
        <v>0</v>
      </c>
      <c r="Q24" s="8">
        <f t="shared" si="2"/>
        <v>31.363634197456232</v>
      </c>
      <c r="R24" s="8">
        <v>298255</v>
      </c>
      <c r="S24" s="8">
        <f t="shared" si="3"/>
        <v>0.29959999991115183</v>
      </c>
    </row>
    <row r="25" spans="1:19" ht="18" customHeight="1">
      <c r="A25" s="10" t="s">
        <v>12</v>
      </c>
      <c r="B25" s="11"/>
      <c r="C25" s="12"/>
      <c r="D25" s="11" t="s">
        <v>12</v>
      </c>
      <c r="E25" s="13" t="s">
        <v>28</v>
      </c>
      <c r="F25" s="14">
        <f>SUM(F18:F24)</f>
        <v>2102031.4500000002</v>
      </c>
      <c r="G25" s="14">
        <v>247.43</v>
      </c>
      <c r="H25" s="14">
        <f t="shared" si="0"/>
        <v>2522437.7400000002</v>
      </c>
      <c r="I25" s="14">
        <f t="shared" si="1"/>
        <v>3405290.949</v>
      </c>
      <c r="J25" s="14">
        <f>SUM(J18:J24)</f>
        <v>3479726.8670000001</v>
      </c>
      <c r="K25" s="14">
        <f t="shared" ref="K25:S25" si="7">SUM(K18:K24)</f>
        <v>590000</v>
      </c>
      <c r="L25" s="14">
        <f t="shared" si="7"/>
        <v>317413</v>
      </c>
      <c r="M25" s="14">
        <f t="shared" si="7"/>
        <v>958000</v>
      </c>
      <c r="N25" s="14">
        <f t="shared" si="7"/>
        <v>593255.18999999994</v>
      </c>
      <c r="O25" s="14">
        <f t="shared" si="7"/>
        <v>686766</v>
      </c>
      <c r="P25" s="14">
        <f t="shared" si="7"/>
        <v>497512.62</v>
      </c>
      <c r="Q25" s="14">
        <f t="shared" si="2"/>
        <v>40.468142007192775</v>
      </c>
      <c r="R25" s="14">
        <f t="shared" si="7"/>
        <v>1244961</v>
      </c>
      <c r="S25" s="14">
        <f t="shared" si="7"/>
        <v>0.13300000003073364</v>
      </c>
    </row>
    <row r="26" spans="1:19" ht="18" customHeight="1">
      <c r="A26" s="5">
        <v>21</v>
      </c>
      <c r="B26" s="5">
        <v>1789</v>
      </c>
      <c r="C26" s="6" t="s">
        <v>313</v>
      </c>
      <c r="D26" s="5">
        <v>11082</v>
      </c>
      <c r="E26" s="7" t="s">
        <v>29</v>
      </c>
      <c r="F26" s="8">
        <v>453838.13</v>
      </c>
      <c r="G26" s="8">
        <v>295.10000000000002</v>
      </c>
      <c r="H26" s="8">
        <f t="shared" si="0"/>
        <v>544605.75600000005</v>
      </c>
      <c r="I26" s="8">
        <f t="shared" si="1"/>
        <v>735217.77060000005</v>
      </c>
      <c r="J26" s="8">
        <f>+I26</f>
        <v>735217.77060000005</v>
      </c>
      <c r="K26" s="8">
        <v>0</v>
      </c>
      <c r="L26" s="5">
        <v>0</v>
      </c>
      <c r="M26" s="8">
        <v>230000</v>
      </c>
      <c r="N26" s="8">
        <v>153823.56</v>
      </c>
      <c r="O26" s="8">
        <v>0</v>
      </c>
      <c r="P26" s="8">
        <v>0</v>
      </c>
      <c r="Q26" s="8">
        <f t="shared" si="2"/>
        <v>20.922176551100897</v>
      </c>
      <c r="R26" s="8">
        <v>505218</v>
      </c>
      <c r="S26" s="8">
        <f t="shared" si="3"/>
        <v>0.22939999995287508</v>
      </c>
    </row>
    <row r="27" spans="1:19" ht="18" customHeight="1">
      <c r="A27" s="5">
        <v>22</v>
      </c>
      <c r="B27" s="5">
        <v>3822</v>
      </c>
      <c r="C27" s="6" t="s">
        <v>314</v>
      </c>
      <c r="D27" s="5">
        <v>12061</v>
      </c>
      <c r="E27" s="7" t="s">
        <v>30</v>
      </c>
      <c r="F27" s="8">
        <v>387519.29</v>
      </c>
      <c r="G27" s="8">
        <v>273.54000000000002</v>
      </c>
      <c r="H27" s="8">
        <f t="shared" si="0"/>
        <v>465023.14799999993</v>
      </c>
      <c r="I27" s="8">
        <f t="shared" si="1"/>
        <v>627781.24979999987</v>
      </c>
      <c r="J27" s="8">
        <f t="shared" ref="J27:J30" si="8">+I27</f>
        <v>627781.24979999987</v>
      </c>
      <c r="K27" s="8">
        <v>80000</v>
      </c>
      <c r="L27" s="5">
        <v>26250</v>
      </c>
      <c r="M27" s="8">
        <v>90000</v>
      </c>
      <c r="N27" s="8">
        <v>79079.149999999994</v>
      </c>
      <c r="O27" s="8">
        <v>250000</v>
      </c>
      <c r="P27" s="8">
        <v>186618.93</v>
      </c>
      <c r="Q27" s="8">
        <f t="shared" si="2"/>
        <v>46.504746692101669</v>
      </c>
      <c r="R27" s="8">
        <v>207781</v>
      </c>
      <c r="S27" s="8">
        <f t="shared" si="3"/>
        <v>-0.24979999987408519</v>
      </c>
    </row>
    <row r="28" spans="1:19" ht="18" customHeight="1">
      <c r="A28" s="5">
        <v>23</v>
      </c>
      <c r="B28" s="5">
        <v>2523</v>
      </c>
      <c r="C28" s="6" t="s">
        <v>315</v>
      </c>
      <c r="D28" s="5">
        <v>11085</v>
      </c>
      <c r="E28" s="7" t="s">
        <v>31</v>
      </c>
      <c r="F28" s="8">
        <v>406953.32999999996</v>
      </c>
      <c r="G28" s="8">
        <v>273.58999999999997</v>
      </c>
      <c r="H28" s="8">
        <f t="shared" si="0"/>
        <v>488343.99599999998</v>
      </c>
      <c r="I28" s="8">
        <f t="shared" si="1"/>
        <v>659264.3946</v>
      </c>
      <c r="J28" s="8">
        <f t="shared" si="8"/>
        <v>659264.3946</v>
      </c>
      <c r="K28" s="8">
        <v>60000</v>
      </c>
      <c r="L28" s="5">
        <v>48548</v>
      </c>
      <c r="M28" s="8">
        <v>100000</v>
      </c>
      <c r="N28" s="8">
        <v>34917.53</v>
      </c>
      <c r="O28" s="8">
        <v>250000</v>
      </c>
      <c r="P28" s="8">
        <v>143177.89000000001</v>
      </c>
      <c r="Q28" s="8">
        <f t="shared" si="2"/>
        <v>34.37822850079943</v>
      </c>
      <c r="R28" s="8">
        <v>249264</v>
      </c>
      <c r="S28" s="8">
        <f t="shared" si="3"/>
        <v>-0.39459999999962747</v>
      </c>
    </row>
    <row r="29" spans="1:19" ht="18" customHeight="1">
      <c r="A29" s="5">
        <v>24</v>
      </c>
      <c r="B29" s="5">
        <v>1935</v>
      </c>
      <c r="C29" s="6" t="s">
        <v>316</v>
      </c>
      <c r="D29" s="5">
        <v>12598</v>
      </c>
      <c r="E29" s="7" t="s">
        <v>32</v>
      </c>
      <c r="F29" s="8">
        <v>341964.97000000003</v>
      </c>
      <c r="G29" s="8">
        <v>230.4</v>
      </c>
      <c r="H29" s="8">
        <f t="shared" si="0"/>
        <v>410357.96400000004</v>
      </c>
      <c r="I29" s="8">
        <f t="shared" si="1"/>
        <v>553983.25140000007</v>
      </c>
      <c r="J29" s="8">
        <f t="shared" si="8"/>
        <v>553983.25140000007</v>
      </c>
      <c r="K29" s="8">
        <v>60000</v>
      </c>
      <c r="L29" s="5">
        <v>43136</v>
      </c>
      <c r="M29" s="8">
        <v>100000</v>
      </c>
      <c r="N29" s="8">
        <v>178555.12</v>
      </c>
      <c r="O29" s="8">
        <v>200000</v>
      </c>
      <c r="P29" s="8">
        <v>100328.07</v>
      </c>
      <c r="Q29" s="8">
        <f t="shared" si="2"/>
        <v>58.12796491341723</v>
      </c>
      <c r="R29" s="8">
        <v>193983</v>
      </c>
      <c r="S29" s="8">
        <f t="shared" si="3"/>
        <v>-0.25140000006649643</v>
      </c>
    </row>
    <row r="30" spans="1:19" ht="18" customHeight="1">
      <c r="A30" s="5">
        <v>25</v>
      </c>
      <c r="B30" s="5">
        <v>5453</v>
      </c>
      <c r="C30" s="6" t="s">
        <v>317</v>
      </c>
      <c r="D30" s="5">
        <v>11079</v>
      </c>
      <c r="E30" s="7" t="s">
        <v>33</v>
      </c>
      <c r="F30" s="8">
        <v>427646.29000000004</v>
      </c>
      <c r="G30" s="8">
        <v>284.88</v>
      </c>
      <c r="H30" s="8">
        <f t="shared" si="0"/>
        <v>513175.54800000001</v>
      </c>
      <c r="I30" s="8">
        <f t="shared" si="1"/>
        <v>692786.98979999998</v>
      </c>
      <c r="J30" s="8">
        <f t="shared" si="8"/>
        <v>692786.98979999998</v>
      </c>
      <c r="K30" s="8">
        <v>95000</v>
      </c>
      <c r="L30" s="5">
        <v>26510</v>
      </c>
      <c r="M30" s="8">
        <v>100000</v>
      </c>
      <c r="N30" s="8">
        <v>223011.3</v>
      </c>
      <c r="O30" s="8">
        <v>300000</v>
      </c>
      <c r="P30" s="8">
        <v>109188.22</v>
      </c>
      <c r="Q30" s="8">
        <f t="shared" si="2"/>
        <v>51.777750633503601</v>
      </c>
      <c r="R30" s="8">
        <v>197787</v>
      </c>
      <c r="S30" s="8">
        <f t="shared" si="3"/>
        <v>1.0200000018812716E-2</v>
      </c>
    </row>
    <row r="31" spans="1:19" ht="18" customHeight="1">
      <c r="A31" s="5">
        <v>26</v>
      </c>
      <c r="B31" s="5">
        <v>3186</v>
      </c>
      <c r="C31" s="6" t="s">
        <v>318</v>
      </c>
      <c r="D31" s="5">
        <v>13291</v>
      </c>
      <c r="E31" s="7" t="s">
        <v>34</v>
      </c>
      <c r="F31" s="8">
        <v>271072.81</v>
      </c>
      <c r="G31" s="8">
        <v>211.91</v>
      </c>
      <c r="H31" s="8">
        <f t="shared" si="0"/>
        <v>325287.37199999997</v>
      </c>
      <c r="I31" s="8">
        <f t="shared" si="1"/>
        <v>439137.95219999994</v>
      </c>
      <c r="J31" s="8">
        <f>(H31*45%)+H31</f>
        <v>471666.68939999997</v>
      </c>
      <c r="K31" s="5">
        <v>50000</v>
      </c>
      <c r="L31" s="5">
        <v>30066</v>
      </c>
      <c r="M31" s="5">
        <v>80000</v>
      </c>
      <c r="N31" s="8">
        <v>145677.07999999999</v>
      </c>
      <c r="O31" s="5">
        <v>165000</v>
      </c>
      <c r="P31" s="8">
        <v>128545.91</v>
      </c>
      <c r="Q31" s="8">
        <f t="shared" si="2"/>
        <v>64.5135636750353</v>
      </c>
      <c r="R31" s="5">
        <v>176667</v>
      </c>
      <c r="S31" s="8">
        <f t="shared" si="3"/>
        <v>0.31060000002617016</v>
      </c>
    </row>
    <row r="32" spans="1:19" ht="18" customHeight="1">
      <c r="A32" s="5">
        <v>27</v>
      </c>
      <c r="B32" s="5">
        <v>5187</v>
      </c>
      <c r="C32" s="6" t="s">
        <v>319</v>
      </c>
      <c r="D32" s="5">
        <v>11081</v>
      </c>
      <c r="E32" s="7" t="s">
        <v>35</v>
      </c>
      <c r="F32" s="8">
        <v>415961.32</v>
      </c>
      <c r="G32" s="8">
        <v>287.85000000000002</v>
      </c>
      <c r="H32" s="8">
        <f t="shared" si="0"/>
        <v>499153.58399999997</v>
      </c>
      <c r="I32" s="8">
        <f t="shared" si="1"/>
        <v>673857.33840000001</v>
      </c>
      <c r="J32" s="8">
        <f>+I32</f>
        <v>673857.33840000001</v>
      </c>
      <c r="K32" s="8">
        <v>95000</v>
      </c>
      <c r="L32" s="5">
        <v>21747</v>
      </c>
      <c r="M32" s="8">
        <v>100000</v>
      </c>
      <c r="N32" s="8">
        <v>181658.15</v>
      </c>
      <c r="O32" s="8">
        <v>300000</v>
      </c>
      <c r="P32" s="8">
        <v>115095.92</v>
      </c>
      <c r="Q32" s="8">
        <f t="shared" si="2"/>
        <v>47.265356010850262</v>
      </c>
      <c r="R32" s="8">
        <v>178857</v>
      </c>
      <c r="S32" s="8">
        <f t="shared" si="3"/>
        <v>-0.33840000000782311</v>
      </c>
    </row>
    <row r="33" spans="1:19" ht="18" customHeight="1">
      <c r="A33" s="10" t="s">
        <v>12</v>
      </c>
      <c r="B33" s="11"/>
      <c r="C33" s="12"/>
      <c r="D33" s="11" t="s">
        <v>12</v>
      </c>
      <c r="E33" s="13" t="s">
        <v>36</v>
      </c>
      <c r="F33" s="14">
        <f>SUM(F26:F32)</f>
        <v>2704956.1399999997</v>
      </c>
      <c r="G33" s="14">
        <v>266.54000000000002</v>
      </c>
      <c r="H33" s="14">
        <f t="shared" si="0"/>
        <v>3245947.3679999993</v>
      </c>
      <c r="I33" s="14">
        <f t="shared" si="1"/>
        <v>4382028.9467999991</v>
      </c>
      <c r="J33" s="14">
        <f>SUM(J26:J32)</f>
        <v>4414557.6840000004</v>
      </c>
      <c r="K33" s="14">
        <f t="shared" ref="K33:S33" si="9">SUM(K26:K32)</f>
        <v>440000</v>
      </c>
      <c r="L33" s="14">
        <f t="shared" si="9"/>
        <v>196257</v>
      </c>
      <c r="M33" s="14">
        <f t="shared" si="9"/>
        <v>800000</v>
      </c>
      <c r="N33" s="14">
        <f t="shared" si="9"/>
        <v>996721.8899999999</v>
      </c>
      <c r="O33" s="14">
        <f t="shared" si="9"/>
        <v>1465000</v>
      </c>
      <c r="P33" s="14">
        <f t="shared" si="9"/>
        <v>782954.94000000006</v>
      </c>
      <c r="Q33" s="14">
        <f t="shared" si="2"/>
        <v>44.759497359418809</v>
      </c>
      <c r="R33" s="14">
        <f t="shared" si="9"/>
        <v>1709557</v>
      </c>
      <c r="S33" s="14">
        <f t="shared" si="9"/>
        <v>-0.68399999995017424</v>
      </c>
    </row>
    <row r="34" spans="1:19" ht="18" customHeight="1">
      <c r="A34" s="5">
        <v>28</v>
      </c>
      <c r="B34" s="5">
        <v>2678</v>
      </c>
      <c r="C34" s="6" t="s">
        <v>320</v>
      </c>
      <c r="D34" s="5">
        <v>11086</v>
      </c>
      <c r="E34" s="7" t="s">
        <v>37</v>
      </c>
      <c r="F34" s="8">
        <v>373215.31</v>
      </c>
      <c r="G34" s="8">
        <v>216.2</v>
      </c>
      <c r="H34" s="8">
        <f t="shared" si="0"/>
        <v>447858.37200000003</v>
      </c>
      <c r="I34" s="8">
        <f t="shared" si="1"/>
        <v>604608.80220000003</v>
      </c>
      <c r="J34" s="8">
        <f>(H34*40%)+H34</f>
        <v>627001.72080000001</v>
      </c>
      <c r="K34" s="5">
        <v>94000</v>
      </c>
      <c r="L34" s="5">
        <v>54502</v>
      </c>
      <c r="M34" s="5">
        <v>150000</v>
      </c>
      <c r="N34" s="8">
        <v>90882.32</v>
      </c>
      <c r="O34" s="5">
        <v>300000</v>
      </c>
      <c r="P34" s="8">
        <v>145818.54</v>
      </c>
      <c r="Q34" s="8">
        <f t="shared" si="2"/>
        <v>46.443709855923572</v>
      </c>
      <c r="R34" s="5">
        <v>83002</v>
      </c>
      <c r="S34" s="8">
        <f t="shared" si="3"/>
        <v>0.27919999998994172</v>
      </c>
    </row>
    <row r="35" spans="1:19" ht="18" customHeight="1">
      <c r="A35" s="5">
        <v>29</v>
      </c>
      <c r="B35" s="5">
        <v>7220</v>
      </c>
      <c r="C35" s="6" t="s">
        <v>321</v>
      </c>
      <c r="D35" s="5">
        <v>13614</v>
      </c>
      <c r="E35" s="7" t="s">
        <v>38</v>
      </c>
      <c r="F35" s="8">
        <v>371474.38999999996</v>
      </c>
      <c r="G35" s="8">
        <v>231.2</v>
      </c>
      <c r="H35" s="8">
        <f t="shared" si="0"/>
        <v>445769.26799999998</v>
      </c>
      <c r="I35" s="8">
        <f t="shared" si="1"/>
        <v>601788.51179999998</v>
      </c>
      <c r="J35" s="8">
        <v>601789</v>
      </c>
      <c r="K35" s="8">
        <v>100000</v>
      </c>
      <c r="L35" s="5">
        <v>93864</v>
      </c>
      <c r="M35" s="8">
        <v>140000</v>
      </c>
      <c r="N35" s="8">
        <v>154475.4</v>
      </c>
      <c r="O35" s="8">
        <v>270000</v>
      </c>
      <c r="P35" s="8">
        <v>108800.7</v>
      </c>
      <c r="Q35" s="8">
        <f t="shared" si="2"/>
        <v>59.34639882084916</v>
      </c>
      <c r="R35" s="8">
        <v>91789</v>
      </c>
      <c r="S35" s="8">
        <f t="shared" si="3"/>
        <v>0</v>
      </c>
    </row>
    <row r="36" spans="1:19" ht="18" customHeight="1">
      <c r="A36" s="5">
        <v>30</v>
      </c>
      <c r="B36" s="5">
        <v>7583</v>
      </c>
      <c r="C36" s="6" t="s">
        <v>322</v>
      </c>
      <c r="D36" s="5">
        <v>11087</v>
      </c>
      <c r="E36" s="7" t="s">
        <v>39</v>
      </c>
      <c r="F36" s="8">
        <v>218967.97000000003</v>
      </c>
      <c r="G36" s="8">
        <v>152.68</v>
      </c>
      <c r="H36" s="8">
        <f t="shared" si="0"/>
        <v>262761.56400000001</v>
      </c>
      <c r="I36" s="8">
        <f t="shared" si="1"/>
        <v>354728.11139999999</v>
      </c>
      <c r="J36" s="8">
        <f t="shared" ref="J36:J39" si="10">(H36*40%)+H36</f>
        <v>367866.18960000004</v>
      </c>
      <c r="K36" s="5">
        <v>58000</v>
      </c>
      <c r="L36" s="5">
        <v>38904</v>
      </c>
      <c r="M36" s="5">
        <v>70000</v>
      </c>
      <c r="N36" s="8">
        <v>90236.03</v>
      </c>
      <c r="O36" s="5">
        <v>140000</v>
      </c>
      <c r="P36" s="8">
        <v>69349.490000000005</v>
      </c>
      <c r="Q36" s="8">
        <f t="shared" si="2"/>
        <v>53.956989147556058</v>
      </c>
      <c r="R36" s="5">
        <v>99866</v>
      </c>
      <c r="S36" s="8">
        <f t="shared" si="3"/>
        <v>-0.18960000004153699</v>
      </c>
    </row>
    <row r="37" spans="1:19" ht="18" customHeight="1">
      <c r="A37" s="5">
        <v>31</v>
      </c>
      <c r="B37" s="5">
        <v>6413</v>
      </c>
      <c r="C37" s="6" t="s">
        <v>323</v>
      </c>
      <c r="D37" s="5">
        <v>12225</v>
      </c>
      <c r="E37" s="7" t="s">
        <v>40</v>
      </c>
      <c r="F37" s="8">
        <v>384784.43</v>
      </c>
      <c r="G37" s="8">
        <v>218.57</v>
      </c>
      <c r="H37" s="8">
        <f t="shared" si="0"/>
        <v>461741.31599999999</v>
      </c>
      <c r="I37" s="8">
        <f t="shared" si="1"/>
        <v>623350.77659999998</v>
      </c>
      <c r="J37" s="8">
        <f t="shared" si="10"/>
        <v>646437.84239999996</v>
      </c>
      <c r="K37" s="5">
        <v>120000</v>
      </c>
      <c r="L37" s="5">
        <v>13300</v>
      </c>
      <c r="M37" s="5">
        <v>220000</v>
      </c>
      <c r="N37" s="8">
        <v>418206.27</v>
      </c>
      <c r="O37" s="5">
        <v>200000</v>
      </c>
      <c r="P37" s="8">
        <v>34700.46</v>
      </c>
      <c r="Q37" s="8">
        <f t="shared" si="2"/>
        <v>72.119343797871707</v>
      </c>
      <c r="R37" s="5">
        <v>106438</v>
      </c>
      <c r="S37" s="8">
        <f t="shared" si="3"/>
        <v>0.15760000003501773</v>
      </c>
    </row>
    <row r="38" spans="1:19" ht="18" customHeight="1">
      <c r="A38" s="5">
        <v>32</v>
      </c>
      <c r="B38" s="5">
        <v>7727</v>
      </c>
      <c r="C38" s="6" t="s">
        <v>324</v>
      </c>
      <c r="D38" s="5">
        <v>11088</v>
      </c>
      <c r="E38" s="7" t="s">
        <v>41</v>
      </c>
      <c r="F38" s="8">
        <v>331882.97000000003</v>
      </c>
      <c r="G38" s="8">
        <v>179.71</v>
      </c>
      <c r="H38" s="8">
        <f t="shared" si="0"/>
        <v>398259.56400000007</v>
      </c>
      <c r="I38" s="8">
        <f t="shared" si="1"/>
        <v>537650.4114000001</v>
      </c>
      <c r="J38" s="8">
        <f t="shared" si="10"/>
        <v>557563.38960000011</v>
      </c>
      <c r="K38" s="5">
        <v>120000</v>
      </c>
      <c r="L38" s="5">
        <v>17332</v>
      </c>
      <c r="M38" s="5">
        <v>170000</v>
      </c>
      <c r="N38" s="8">
        <v>294045.96000000002</v>
      </c>
      <c r="O38" s="5">
        <v>160000</v>
      </c>
      <c r="P38" s="8">
        <v>78014.39</v>
      </c>
      <c r="Q38" s="8">
        <f t="shared" si="2"/>
        <v>69.838220597545487</v>
      </c>
      <c r="R38" s="5">
        <v>107563</v>
      </c>
      <c r="S38" s="8">
        <f t="shared" si="3"/>
        <v>-0.38960000011138618</v>
      </c>
    </row>
    <row r="39" spans="1:19" ht="18" customHeight="1">
      <c r="A39" s="5">
        <v>33</v>
      </c>
      <c r="B39" s="5">
        <v>7372</v>
      </c>
      <c r="C39" s="6" t="s">
        <v>325</v>
      </c>
      <c r="D39" s="5">
        <v>11091</v>
      </c>
      <c r="E39" s="7" t="s">
        <v>42</v>
      </c>
      <c r="F39" s="8">
        <v>321082.88</v>
      </c>
      <c r="G39" s="8">
        <v>217.67</v>
      </c>
      <c r="H39" s="8">
        <f t="shared" si="0"/>
        <v>385299.45600000001</v>
      </c>
      <c r="I39" s="8">
        <f t="shared" si="1"/>
        <v>520154.26560000004</v>
      </c>
      <c r="J39" s="8">
        <f t="shared" si="10"/>
        <v>539419.23840000003</v>
      </c>
      <c r="K39" s="5">
        <v>70000</v>
      </c>
      <c r="L39" s="5">
        <v>34568</v>
      </c>
      <c r="M39" s="5">
        <v>150000</v>
      </c>
      <c r="N39" s="8">
        <v>193461.89</v>
      </c>
      <c r="O39" s="5">
        <v>250000</v>
      </c>
      <c r="P39" s="8">
        <v>35435.54</v>
      </c>
      <c r="Q39" s="8">
        <f t="shared" si="2"/>
        <v>48.842423711375005</v>
      </c>
      <c r="R39" s="5">
        <v>69419</v>
      </c>
      <c r="S39" s="8">
        <f t="shared" si="3"/>
        <v>-0.23840000003110617</v>
      </c>
    </row>
    <row r="40" spans="1:19" ht="18" customHeight="1">
      <c r="A40" s="5">
        <v>34</v>
      </c>
      <c r="B40" s="5">
        <v>7139</v>
      </c>
      <c r="C40" s="6" t="s">
        <v>326</v>
      </c>
      <c r="D40" s="5">
        <v>13264</v>
      </c>
      <c r="E40" s="7" t="s">
        <v>43</v>
      </c>
      <c r="F40" s="8">
        <v>441191.45</v>
      </c>
      <c r="G40" s="8">
        <v>257.88</v>
      </c>
      <c r="H40" s="8">
        <f t="shared" si="0"/>
        <v>529429.74</v>
      </c>
      <c r="I40" s="8">
        <f t="shared" si="1"/>
        <v>714730.14899999998</v>
      </c>
      <c r="J40" s="8">
        <f>+I40</f>
        <v>714730.14899999998</v>
      </c>
      <c r="K40" s="8">
        <v>100000</v>
      </c>
      <c r="L40" s="5">
        <v>46243</v>
      </c>
      <c r="M40" s="8">
        <v>200000</v>
      </c>
      <c r="N40" s="8">
        <v>195038.37</v>
      </c>
      <c r="O40" s="8">
        <v>314000</v>
      </c>
      <c r="P40" s="8">
        <v>282997.02</v>
      </c>
      <c r="Q40" s="8">
        <f t="shared" si="2"/>
        <v>73.353333525042061</v>
      </c>
      <c r="R40" s="8">
        <v>100730</v>
      </c>
      <c r="S40" s="8">
        <f t="shared" si="3"/>
        <v>-0.14899999997578561</v>
      </c>
    </row>
    <row r="41" spans="1:19" ht="18" customHeight="1">
      <c r="A41" s="10" t="s">
        <v>12</v>
      </c>
      <c r="B41" s="11"/>
      <c r="C41" s="12"/>
      <c r="D41" s="11" t="s">
        <v>12</v>
      </c>
      <c r="E41" s="13" t="s">
        <v>44</v>
      </c>
      <c r="F41" s="14">
        <f>SUM(F34:F40)</f>
        <v>2442599.4</v>
      </c>
      <c r="G41" s="14">
        <v>211.51</v>
      </c>
      <c r="H41" s="14">
        <f t="shared" si="0"/>
        <v>2931119.2800000003</v>
      </c>
      <c r="I41" s="14">
        <f t="shared" si="1"/>
        <v>3957011.0280000004</v>
      </c>
      <c r="J41" s="14">
        <f>SUM(J34:J40)</f>
        <v>4054807.5298000006</v>
      </c>
      <c r="K41" s="14">
        <f t="shared" ref="K41:S41" si="11">SUM(K34:K40)</f>
        <v>662000</v>
      </c>
      <c r="L41" s="14">
        <f t="shared" si="11"/>
        <v>298713</v>
      </c>
      <c r="M41" s="14">
        <f t="shared" si="11"/>
        <v>1100000</v>
      </c>
      <c r="N41" s="14">
        <f t="shared" si="11"/>
        <v>1436346.2400000002</v>
      </c>
      <c r="O41" s="14">
        <f t="shared" si="11"/>
        <v>1634000</v>
      </c>
      <c r="P41" s="14">
        <f t="shared" si="11"/>
        <v>755116.14</v>
      </c>
      <c r="Q41" s="14">
        <f t="shared" si="2"/>
        <v>61.412911998879167</v>
      </c>
      <c r="R41" s="14">
        <f t="shared" si="11"/>
        <v>658807</v>
      </c>
      <c r="S41" s="14">
        <f t="shared" si="11"/>
        <v>-0.52980000013485551</v>
      </c>
    </row>
    <row r="42" spans="1:19" ht="18" customHeight="1">
      <c r="A42" s="5">
        <v>35</v>
      </c>
      <c r="B42" s="5">
        <v>6705</v>
      </c>
      <c r="C42" s="6" t="s">
        <v>327</v>
      </c>
      <c r="D42" s="5">
        <v>11030</v>
      </c>
      <c r="E42" s="7" t="s">
        <v>45</v>
      </c>
      <c r="F42" s="8">
        <v>218720.09999999998</v>
      </c>
      <c r="G42" s="8">
        <v>191.1</v>
      </c>
      <c r="H42" s="8">
        <f t="shared" si="0"/>
        <v>262464.12</v>
      </c>
      <c r="I42" s="8">
        <f t="shared" si="1"/>
        <v>354326.56199999998</v>
      </c>
      <c r="J42" s="5">
        <v>408123</v>
      </c>
      <c r="K42" s="5">
        <v>50000</v>
      </c>
      <c r="L42" s="5">
        <v>28116</v>
      </c>
      <c r="M42" s="5">
        <v>100000</v>
      </c>
      <c r="N42" s="8">
        <v>43321.55</v>
      </c>
      <c r="O42" s="5">
        <v>200000</v>
      </c>
      <c r="P42" s="8">
        <v>181149.23</v>
      </c>
      <c r="Q42" s="8">
        <f t="shared" si="2"/>
        <v>61.889866535333717</v>
      </c>
      <c r="R42" s="5">
        <v>58123</v>
      </c>
      <c r="S42" s="8">
        <f t="shared" si="3"/>
        <v>0</v>
      </c>
    </row>
    <row r="43" spans="1:19" ht="18" customHeight="1">
      <c r="A43" s="5">
        <v>36</v>
      </c>
      <c r="B43" s="5">
        <v>7454</v>
      </c>
      <c r="C43" s="6" t="s">
        <v>328</v>
      </c>
      <c r="D43" s="5">
        <v>11032</v>
      </c>
      <c r="E43" s="7" t="s">
        <v>46</v>
      </c>
      <c r="F43" s="8">
        <v>206460.32</v>
      </c>
      <c r="G43" s="8">
        <v>173.11</v>
      </c>
      <c r="H43" s="8">
        <f t="shared" si="0"/>
        <v>247752.38399999999</v>
      </c>
      <c r="I43" s="8">
        <f t="shared" si="1"/>
        <v>334465.71840000001</v>
      </c>
      <c r="J43" s="5">
        <v>425331</v>
      </c>
      <c r="K43" s="33">
        <v>60000</v>
      </c>
      <c r="L43" s="5">
        <v>58629</v>
      </c>
      <c r="M43" s="33">
        <v>150000</v>
      </c>
      <c r="N43" s="8">
        <v>47951.34</v>
      </c>
      <c r="O43" s="33">
        <v>100000</v>
      </c>
      <c r="P43" s="8">
        <v>75598.06</v>
      </c>
      <c r="Q43" s="8">
        <f t="shared" si="2"/>
        <v>42.832147198299673</v>
      </c>
      <c r="R43" s="33">
        <v>115331</v>
      </c>
      <c r="S43" s="8">
        <f t="shared" si="3"/>
        <v>0</v>
      </c>
    </row>
    <row r="44" spans="1:19" ht="18" customHeight="1">
      <c r="A44" s="5">
        <v>37</v>
      </c>
      <c r="B44" s="5">
        <v>6164</v>
      </c>
      <c r="C44" s="6" t="s">
        <v>329</v>
      </c>
      <c r="D44" s="5">
        <v>13310</v>
      </c>
      <c r="E44" s="7" t="s">
        <v>47</v>
      </c>
      <c r="F44" s="8">
        <v>233071.51</v>
      </c>
      <c r="G44" s="8">
        <v>195.9</v>
      </c>
      <c r="H44" s="8">
        <f t="shared" si="0"/>
        <v>279685.81200000003</v>
      </c>
      <c r="I44" s="8">
        <f t="shared" si="1"/>
        <v>377575.84620000003</v>
      </c>
      <c r="J44" s="5">
        <v>423809</v>
      </c>
      <c r="K44" s="33">
        <v>75000</v>
      </c>
      <c r="L44" s="5">
        <v>46810</v>
      </c>
      <c r="M44" s="33">
        <v>130000</v>
      </c>
      <c r="N44" s="8">
        <v>64369.01</v>
      </c>
      <c r="O44" s="33">
        <v>170000</v>
      </c>
      <c r="P44" s="8">
        <v>110503.08</v>
      </c>
      <c r="Q44" s="8">
        <f t="shared" si="2"/>
        <v>52.307074649193382</v>
      </c>
      <c r="R44" s="33">
        <v>48808</v>
      </c>
      <c r="S44" s="8">
        <f t="shared" si="3"/>
        <v>-1</v>
      </c>
    </row>
    <row r="45" spans="1:19" ht="18" customHeight="1">
      <c r="A45" s="5">
        <v>38</v>
      </c>
      <c r="B45" s="5">
        <v>2938</v>
      </c>
      <c r="C45" s="6" t="s">
        <v>330</v>
      </c>
      <c r="D45" s="5">
        <v>13102</v>
      </c>
      <c r="E45" s="7" t="s">
        <v>48</v>
      </c>
      <c r="F45" s="8">
        <v>291874.01</v>
      </c>
      <c r="G45" s="8">
        <v>234.12</v>
      </c>
      <c r="H45" s="8">
        <f t="shared" si="0"/>
        <v>350248.81200000003</v>
      </c>
      <c r="I45" s="8">
        <f t="shared" si="1"/>
        <v>472835.89620000002</v>
      </c>
      <c r="J45" s="8">
        <v>472835.89620000002</v>
      </c>
      <c r="K45" s="34">
        <v>60000</v>
      </c>
      <c r="L45" s="5">
        <v>45162</v>
      </c>
      <c r="M45" s="34">
        <v>120000</v>
      </c>
      <c r="N45" s="8">
        <v>58045.8</v>
      </c>
      <c r="O45" s="34">
        <v>240000</v>
      </c>
      <c r="P45" s="8">
        <v>141633.89000000001</v>
      </c>
      <c r="Q45" s="8">
        <f t="shared" si="2"/>
        <v>51.781536039818121</v>
      </c>
      <c r="R45" s="34">
        <v>52836</v>
      </c>
      <c r="S45" s="8">
        <f t="shared" si="3"/>
        <v>0.10379999998258427</v>
      </c>
    </row>
    <row r="46" spans="1:19" ht="18" customHeight="1">
      <c r="A46" s="5">
        <v>39</v>
      </c>
      <c r="B46" s="5">
        <v>1753</v>
      </c>
      <c r="C46" s="6" t="s">
        <v>331</v>
      </c>
      <c r="D46" s="5">
        <v>11028</v>
      </c>
      <c r="E46" s="7" t="s">
        <v>49</v>
      </c>
      <c r="F46" s="8">
        <v>294153.94</v>
      </c>
      <c r="G46" s="8">
        <v>215.57</v>
      </c>
      <c r="H46" s="8">
        <f t="shared" si="0"/>
        <v>352984.728</v>
      </c>
      <c r="I46" s="8">
        <f t="shared" si="1"/>
        <v>476529.38280000002</v>
      </c>
      <c r="J46" s="5">
        <v>485353</v>
      </c>
      <c r="K46" s="33">
        <v>60000</v>
      </c>
      <c r="L46" s="5">
        <v>18848</v>
      </c>
      <c r="M46" s="33">
        <v>150000</v>
      </c>
      <c r="N46" s="8">
        <v>120987.29</v>
      </c>
      <c r="O46" s="33">
        <v>250000</v>
      </c>
      <c r="P46" s="8">
        <v>63232.04</v>
      </c>
      <c r="Q46" s="8">
        <f t="shared" si="2"/>
        <v>41.839100613368004</v>
      </c>
      <c r="R46" s="33">
        <v>25353</v>
      </c>
      <c r="S46" s="8">
        <f t="shared" si="3"/>
        <v>0</v>
      </c>
    </row>
    <row r="47" spans="1:19" ht="18" customHeight="1">
      <c r="A47" s="5">
        <v>40</v>
      </c>
      <c r="B47" s="5">
        <v>1182</v>
      </c>
      <c r="C47" s="6" t="s">
        <v>332</v>
      </c>
      <c r="D47" s="5">
        <v>11029</v>
      </c>
      <c r="E47" s="7" t="s">
        <v>50</v>
      </c>
      <c r="F47" s="8">
        <v>339183.86</v>
      </c>
      <c r="G47" s="8">
        <v>304.22000000000003</v>
      </c>
      <c r="H47" s="8">
        <f t="shared" si="0"/>
        <v>407020.63199999998</v>
      </c>
      <c r="I47" s="8">
        <f t="shared" si="1"/>
        <v>549477.85320000001</v>
      </c>
      <c r="J47" s="8">
        <v>549477.85320000001</v>
      </c>
      <c r="K47" s="35">
        <v>100478</v>
      </c>
      <c r="L47" s="5">
        <v>26159</v>
      </c>
      <c r="M47" s="35">
        <v>175000</v>
      </c>
      <c r="N47" s="8">
        <v>55948.160000000003</v>
      </c>
      <c r="O47" s="35">
        <v>224000</v>
      </c>
      <c r="P47" s="8">
        <v>136481.65</v>
      </c>
      <c r="Q47" s="8">
        <f t="shared" si="2"/>
        <v>39.781186580496744</v>
      </c>
      <c r="R47" s="35">
        <v>50000</v>
      </c>
      <c r="S47" s="8">
        <f t="shared" si="3"/>
        <v>0.14679999998770654</v>
      </c>
    </row>
    <row r="48" spans="1:19" ht="18" customHeight="1">
      <c r="A48" s="5">
        <v>41</v>
      </c>
      <c r="B48" s="5">
        <v>3730</v>
      </c>
      <c r="C48" s="6" t="s">
        <v>333</v>
      </c>
      <c r="D48" s="5">
        <v>12348</v>
      </c>
      <c r="E48" s="7" t="s">
        <v>51</v>
      </c>
      <c r="F48" s="8">
        <v>362452.89</v>
      </c>
      <c r="G48" s="8">
        <v>313.48</v>
      </c>
      <c r="H48" s="8">
        <f t="shared" si="0"/>
        <v>434943.46800000005</v>
      </c>
      <c r="I48" s="8">
        <f t="shared" si="1"/>
        <v>587173.68180000002</v>
      </c>
      <c r="J48" s="8">
        <v>587173.68180000002</v>
      </c>
      <c r="K48" s="8">
        <v>70000</v>
      </c>
      <c r="L48" s="5">
        <v>72048</v>
      </c>
      <c r="M48" s="8">
        <v>200000</v>
      </c>
      <c r="N48" s="8">
        <v>101674.04</v>
      </c>
      <c r="O48" s="8">
        <v>250000</v>
      </c>
      <c r="P48" s="8">
        <v>100714.49</v>
      </c>
      <c r="Q48" s="8">
        <f t="shared" si="2"/>
        <v>46.738561094684272</v>
      </c>
      <c r="R48" s="8">
        <v>67174</v>
      </c>
      <c r="S48" s="8">
        <f t="shared" si="3"/>
        <v>0.31819999997969717</v>
      </c>
    </row>
    <row r="49" spans="1:19" ht="18" customHeight="1">
      <c r="A49" s="5">
        <v>42</v>
      </c>
      <c r="B49" s="5">
        <v>0</v>
      </c>
      <c r="C49" s="6" t="s">
        <v>334</v>
      </c>
      <c r="D49" s="5">
        <v>14708</v>
      </c>
      <c r="E49" s="7" t="s">
        <v>52</v>
      </c>
      <c r="F49" s="8">
        <v>252791.62</v>
      </c>
      <c r="G49" s="8">
        <v>219.12</v>
      </c>
      <c r="H49" s="8">
        <f t="shared" si="0"/>
        <v>303349.94400000002</v>
      </c>
      <c r="I49" s="8">
        <f t="shared" si="1"/>
        <v>409522.42440000002</v>
      </c>
      <c r="J49" s="5">
        <v>411390</v>
      </c>
      <c r="K49" s="33">
        <v>60000</v>
      </c>
      <c r="L49" s="5">
        <v>15561</v>
      </c>
      <c r="M49" s="33">
        <v>125000</v>
      </c>
      <c r="N49" s="8">
        <v>32742.51</v>
      </c>
      <c r="O49" s="33">
        <v>175000</v>
      </c>
      <c r="P49" s="8">
        <v>64743.99</v>
      </c>
      <c r="Q49" s="8">
        <f t="shared" si="2"/>
        <v>27.479399110333262</v>
      </c>
      <c r="R49" s="33">
        <v>51390</v>
      </c>
      <c r="S49" s="8">
        <f t="shared" si="3"/>
        <v>0</v>
      </c>
    </row>
    <row r="50" spans="1:19" ht="18" customHeight="1">
      <c r="A50" s="10" t="s">
        <v>12</v>
      </c>
      <c r="B50" s="11"/>
      <c r="C50" s="12"/>
      <c r="D50" s="11" t="s">
        <v>12</v>
      </c>
      <c r="E50" s="13" t="s">
        <v>53</v>
      </c>
      <c r="F50" s="14">
        <f>SUM(F42:F49)</f>
        <v>2198708.25</v>
      </c>
      <c r="G50" s="14">
        <v>230.48</v>
      </c>
      <c r="H50" s="14">
        <f t="shared" si="0"/>
        <v>2638449.9000000004</v>
      </c>
      <c r="I50" s="14">
        <f t="shared" si="1"/>
        <v>3561907.3650000002</v>
      </c>
      <c r="J50" s="14">
        <f>SUM(J42:J49)</f>
        <v>3763493.4312</v>
      </c>
      <c r="K50" s="14">
        <f t="shared" ref="K50:S50" si="12">SUM(K42:K49)</f>
        <v>535478</v>
      </c>
      <c r="L50" s="14">
        <f t="shared" si="12"/>
        <v>311333</v>
      </c>
      <c r="M50" s="14">
        <f t="shared" si="12"/>
        <v>1150000</v>
      </c>
      <c r="N50" s="14">
        <f t="shared" si="12"/>
        <v>525039.69999999995</v>
      </c>
      <c r="O50" s="14">
        <f t="shared" si="12"/>
        <v>1609000</v>
      </c>
      <c r="P50" s="14">
        <f t="shared" si="12"/>
        <v>874056.43</v>
      </c>
      <c r="Q50" s="14">
        <f t="shared" si="2"/>
        <v>45.447910598707359</v>
      </c>
      <c r="R50" s="14">
        <f t="shared" si="12"/>
        <v>469015</v>
      </c>
      <c r="S50" s="14">
        <f t="shared" si="12"/>
        <v>-0.43120000005001202</v>
      </c>
    </row>
    <row r="51" spans="1:19" ht="18" customHeight="1">
      <c r="A51" s="5">
        <v>43</v>
      </c>
      <c r="B51" s="5">
        <v>3040</v>
      </c>
      <c r="C51" s="6" t="s">
        <v>335</v>
      </c>
      <c r="D51" s="5">
        <v>11027</v>
      </c>
      <c r="E51" s="7" t="s">
        <v>54</v>
      </c>
      <c r="F51" s="8">
        <v>279132.2</v>
      </c>
      <c r="G51" s="8">
        <v>217.16</v>
      </c>
      <c r="H51" s="8">
        <f t="shared" si="0"/>
        <v>334958.64</v>
      </c>
      <c r="I51" s="8">
        <f t="shared" si="1"/>
        <v>452194.16399999999</v>
      </c>
      <c r="J51" s="8">
        <f>(H51*38%)+H51</f>
        <v>462242.92320000002</v>
      </c>
      <c r="K51" s="5">
        <v>50000</v>
      </c>
      <c r="L51" s="5">
        <v>52426</v>
      </c>
      <c r="M51" s="5">
        <v>180000</v>
      </c>
      <c r="N51" s="8">
        <v>86457.35</v>
      </c>
      <c r="O51" s="5">
        <v>200000</v>
      </c>
      <c r="P51" s="8">
        <v>103590.32</v>
      </c>
      <c r="Q51" s="8">
        <f t="shared" si="2"/>
        <v>52.455896635780014</v>
      </c>
      <c r="R51" s="5">
        <v>32243</v>
      </c>
      <c r="S51" s="8">
        <f t="shared" si="3"/>
        <v>7.6799999980721623E-2</v>
      </c>
    </row>
    <row r="52" spans="1:19" ht="18" customHeight="1">
      <c r="A52" s="5">
        <v>44</v>
      </c>
      <c r="B52" s="5">
        <v>7729</v>
      </c>
      <c r="C52" s="6" t="s">
        <v>336</v>
      </c>
      <c r="D52" s="5">
        <v>12227</v>
      </c>
      <c r="E52" s="7" t="s">
        <v>55</v>
      </c>
      <c r="F52" s="8">
        <v>218199.41</v>
      </c>
      <c r="G52" s="8">
        <v>173.79</v>
      </c>
      <c r="H52" s="8">
        <f t="shared" si="0"/>
        <v>261839.29199999999</v>
      </c>
      <c r="I52" s="8">
        <f t="shared" si="1"/>
        <v>353483.0442</v>
      </c>
      <c r="J52" s="8">
        <f>(H52*45%)+H52</f>
        <v>379666.97340000002</v>
      </c>
      <c r="K52" s="5">
        <v>60000</v>
      </c>
      <c r="L52" s="5">
        <v>18751</v>
      </c>
      <c r="M52" s="5">
        <v>140000</v>
      </c>
      <c r="N52" s="8">
        <v>73910.83</v>
      </c>
      <c r="O52" s="5">
        <v>150000</v>
      </c>
      <c r="P52" s="8">
        <v>103844.16</v>
      </c>
      <c r="Q52" s="8">
        <f t="shared" si="2"/>
        <v>51.757462135894066</v>
      </c>
      <c r="R52" s="5">
        <v>29667</v>
      </c>
      <c r="S52" s="8">
        <f t="shared" si="3"/>
        <v>2.6599999982863665E-2</v>
      </c>
    </row>
    <row r="53" spans="1:19" ht="18" customHeight="1">
      <c r="A53" s="5">
        <v>45</v>
      </c>
      <c r="B53" s="5">
        <v>1541</v>
      </c>
      <c r="C53" s="6" t="s">
        <v>337</v>
      </c>
      <c r="D53" s="5">
        <v>11031</v>
      </c>
      <c r="E53" s="7" t="s">
        <v>56</v>
      </c>
      <c r="F53" s="8">
        <v>309143.69</v>
      </c>
      <c r="G53" s="8">
        <v>232.05</v>
      </c>
      <c r="H53" s="8">
        <f t="shared" si="0"/>
        <v>370972.42799999996</v>
      </c>
      <c r="I53" s="8">
        <f t="shared" si="1"/>
        <v>500812.77779999992</v>
      </c>
      <c r="J53" s="8">
        <f>+I53</f>
        <v>500812.77779999992</v>
      </c>
      <c r="K53" s="8">
        <v>60000</v>
      </c>
      <c r="L53" s="5">
        <v>49288</v>
      </c>
      <c r="M53" s="8">
        <v>180000</v>
      </c>
      <c r="N53" s="8">
        <v>130194.3</v>
      </c>
      <c r="O53" s="8">
        <v>200000</v>
      </c>
      <c r="P53" s="8">
        <v>113706.78</v>
      </c>
      <c r="Q53" s="8">
        <f t="shared" si="2"/>
        <v>58.542651664747531</v>
      </c>
      <c r="R53" s="8">
        <v>60813</v>
      </c>
      <c r="S53" s="8">
        <f t="shared" si="3"/>
        <v>0.22220000007655472</v>
      </c>
    </row>
    <row r="54" spans="1:19" ht="18" customHeight="1">
      <c r="A54" s="5">
        <v>46</v>
      </c>
      <c r="B54" s="5">
        <v>4033</v>
      </c>
      <c r="C54" s="6" t="s">
        <v>338</v>
      </c>
      <c r="D54" s="5">
        <v>11730</v>
      </c>
      <c r="E54" s="7" t="s">
        <v>57</v>
      </c>
      <c r="F54" s="8">
        <v>229438.99000000002</v>
      </c>
      <c r="G54" s="8">
        <v>169.01</v>
      </c>
      <c r="H54" s="8">
        <f t="shared" si="0"/>
        <v>275326.788</v>
      </c>
      <c r="I54" s="8">
        <f t="shared" si="1"/>
        <v>371691.16379999998</v>
      </c>
      <c r="J54" s="8">
        <f>(H54*60%)+H54</f>
        <v>440522.86080000002</v>
      </c>
      <c r="K54" s="5">
        <v>100000</v>
      </c>
      <c r="L54" s="5">
        <v>67447</v>
      </c>
      <c r="M54" s="5">
        <v>150000</v>
      </c>
      <c r="N54" s="8">
        <v>83933.92</v>
      </c>
      <c r="O54" s="5">
        <v>170000</v>
      </c>
      <c r="P54" s="8">
        <v>113548.56</v>
      </c>
      <c r="Q54" s="8">
        <f t="shared" si="2"/>
        <v>60.139780150996415</v>
      </c>
      <c r="R54" s="5">
        <v>20523</v>
      </c>
      <c r="S54" s="8">
        <f t="shared" si="3"/>
        <v>0.13919999997597188</v>
      </c>
    </row>
    <row r="55" spans="1:19" ht="18" customHeight="1">
      <c r="A55" s="5">
        <v>47</v>
      </c>
      <c r="B55" s="5">
        <v>7691</v>
      </c>
      <c r="C55" s="6" t="s">
        <v>339</v>
      </c>
      <c r="D55" s="5">
        <v>14595</v>
      </c>
      <c r="E55" s="7" t="s">
        <v>58</v>
      </c>
      <c r="F55" s="8">
        <v>232070.77</v>
      </c>
      <c r="G55" s="8">
        <v>179.63</v>
      </c>
      <c r="H55" s="8">
        <f t="shared" si="0"/>
        <v>278484.924</v>
      </c>
      <c r="I55" s="8">
        <f t="shared" si="1"/>
        <v>375954.64740000002</v>
      </c>
      <c r="J55" s="8">
        <f>(H55*50%)+H55</f>
        <v>417727.386</v>
      </c>
      <c r="K55" s="5">
        <v>80000</v>
      </c>
      <c r="L55" s="5">
        <v>43624</v>
      </c>
      <c r="M55" s="5">
        <v>150000</v>
      </c>
      <c r="N55" s="8">
        <v>46904.26</v>
      </c>
      <c r="O55" s="5">
        <v>160000</v>
      </c>
      <c r="P55" s="8">
        <v>63216.01</v>
      </c>
      <c r="Q55" s="8">
        <f t="shared" si="2"/>
        <v>36.804929519272648</v>
      </c>
      <c r="R55" s="5">
        <v>27727</v>
      </c>
      <c r="S55" s="8">
        <f t="shared" si="3"/>
        <v>-0.38599999999860302</v>
      </c>
    </row>
    <row r="56" spans="1:19" ht="18" customHeight="1">
      <c r="A56" s="5">
        <v>48</v>
      </c>
      <c r="B56" s="5">
        <v>3820</v>
      </c>
      <c r="C56" s="6" t="s">
        <v>340</v>
      </c>
      <c r="D56" s="5">
        <v>11090</v>
      </c>
      <c r="E56" s="7" t="s">
        <v>59</v>
      </c>
      <c r="F56" s="8">
        <v>505112.35000000003</v>
      </c>
      <c r="G56" s="8">
        <v>299.39</v>
      </c>
      <c r="H56" s="8">
        <f t="shared" si="0"/>
        <v>606134.82000000007</v>
      </c>
      <c r="I56" s="8">
        <f t="shared" si="1"/>
        <v>818282.0070000001</v>
      </c>
      <c r="J56" s="8">
        <f>+I56</f>
        <v>818282.0070000001</v>
      </c>
      <c r="K56" s="8">
        <v>100000</v>
      </c>
      <c r="L56" s="5">
        <v>148455</v>
      </c>
      <c r="M56" s="8">
        <v>300000</v>
      </c>
      <c r="N56" s="8">
        <v>198198.68</v>
      </c>
      <c r="O56" s="8">
        <v>300000</v>
      </c>
      <c r="P56" s="8">
        <v>81092.990000000005</v>
      </c>
      <c r="Q56" s="8">
        <f t="shared" si="2"/>
        <v>52.273747478355581</v>
      </c>
      <c r="R56" s="8">
        <v>118282</v>
      </c>
      <c r="S56" s="8">
        <f t="shared" si="3"/>
        <v>-7.0000000996515155E-3</v>
      </c>
    </row>
    <row r="57" spans="1:19" ht="18" customHeight="1">
      <c r="A57" s="5">
        <v>49</v>
      </c>
      <c r="B57" s="5">
        <v>8724</v>
      </c>
      <c r="C57" s="6" t="s">
        <v>341</v>
      </c>
      <c r="D57" s="5">
        <v>11089</v>
      </c>
      <c r="E57" s="7" t="s">
        <v>60</v>
      </c>
      <c r="F57" s="8">
        <v>265117.31</v>
      </c>
      <c r="G57" s="8">
        <v>154.52000000000001</v>
      </c>
      <c r="H57" s="8">
        <f t="shared" si="0"/>
        <v>318140.772</v>
      </c>
      <c r="I57" s="8">
        <f t="shared" si="1"/>
        <v>429490.04220000003</v>
      </c>
      <c r="J57" s="8">
        <f>(H57*50%)+H57</f>
        <v>477211.158</v>
      </c>
      <c r="K57" s="5">
        <v>60000</v>
      </c>
      <c r="L57" s="5">
        <v>16281</v>
      </c>
      <c r="M57" s="5">
        <v>200000</v>
      </c>
      <c r="N57" s="8">
        <v>203553.37</v>
      </c>
      <c r="O57" s="5">
        <v>200000</v>
      </c>
      <c r="P57" s="8">
        <v>14580.22</v>
      </c>
      <c r="Q57" s="8">
        <f t="shared" si="2"/>
        <v>49.121774725979897</v>
      </c>
      <c r="R57" s="5">
        <v>17211</v>
      </c>
      <c r="S57" s="8">
        <f t="shared" si="3"/>
        <v>-0.15799999999580905</v>
      </c>
    </row>
    <row r="58" spans="1:19" ht="18" customHeight="1">
      <c r="A58" s="5">
        <v>50</v>
      </c>
      <c r="B58" s="5">
        <v>1961</v>
      </c>
      <c r="C58" s="6" t="s">
        <v>342</v>
      </c>
      <c r="D58" s="5">
        <v>12948</v>
      </c>
      <c r="E58" s="7" t="s">
        <v>61</v>
      </c>
      <c r="F58" s="8">
        <v>411942.3</v>
      </c>
      <c r="G58" s="8">
        <v>230.15</v>
      </c>
      <c r="H58" s="8">
        <f t="shared" si="0"/>
        <v>494330.75999999995</v>
      </c>
      <c r="I58" s="8">
        <f t="shared" si="1"/>
        <v>667346.52599999995</v>
      </c>
      <c r="J58" s="8">
        <f>+I58</f>
        <v>667346.52599999995</v>
      </c>
      <c r="K58" s="8">
        <v>100000</v>
      </c>
      <c r="L58" s="5">
        <v>27269</v>
      </c>
      <c r="M58" s="8">
        <v>150000</v>
      </c>
      <c r="N58" s="8">
        <v>226296.22</v>
      </c>
      <c r="O58" s="8">
        <v>300000</v>
      </c>
      <c r="P58" s="8">
        <v>104219.72</v>
      </c>
      <c r="Q58" s="8">
        <f t="shared" si="2"/>
        <v>53.613066984033424</v>
      </c>
      <c r="R58" s="8">
        <v>117347</v>
      </c>
      <c r="S58" s="8">
        <f t="shared" si="3"/>
        <v>0.47400000004563481</v>
      </c>
    </row>
    <row r="59" spans="1:19" ht="18" customHeight="1">
      <c r="A59" s="10" t="s">
        <v>12</v>
      </c>
      <c r="B59" s="11"/>
      <c r="C59" s="12"/>
      <c r="D59" s="11" t="s">
        <v>12</v>
      </c>
      <c r="E59" s="13" t="s">
        <v>62</v>
      </c>
      <c r="F59" s="14">
        <f>SUM(F51:F58)</f>
        <v>2450157.02</v>
      </c>
      <c r="G59" s="14">
        <v>209.16</v>
      </c>
      <c r="H59" s="14">
        <f t="shared" si="0"/>
        <v>2940188.4239999996</v>
      </c>
      <c r="I59" s="14">
        <f t="shared" si="1"/>
        <v>3969254.3723999993</v>
      </c>
      <c r="J59" s="14">
        <f>SUM(J51:J58)</f>
        <v>4163812.6121999999</v>
      </c>
      <c r="K59" s="14">
        <f t="shared" ref="K59:S59" si="13">SUM(K51:K58)</f>
        <v>610000</v>
      </c>
      <c r="L59" s="14">
        <f t="shared" si="13"/>
        <v>423541</v>
      </c>
      <c r="M59" s="14">
        <f t="shared" si="13"/>
        <v>1450000</v>
      </c>
      <c r="N59" s="14">
        <f t="shared" si="13"/>
        <v>1049448.93</v>
      </c>
      <c r="O59" s="14">
        <f t="shared" si="13"/>
        <v>1680000</v>
      </c>
      <c r="P59" s="14">
        <f t="shared" si="13"/>
        <v>697798.76</v>
      </c>
      <c r="Q59" s="14">
        <f t="shared" si="2"/>
        <v>52.134639384096531</v>
      </c>
      <c r="R59" s="14">
        <f t="shared" si="13"/>
        <v>423813</v>
      </c>
      <c r="S59" s="14">
        <f t="shared" si="13"/>
        <v>0.38779999996768311</v>
      </c>
    </row>
    <row r="60" spans="1:19" ht="18" customHeight="1">
      <c r="A60" s="15" t="s">
        <v>12</v>
      </c>
      <c r="B60" s="16"/>
      <c r="C60" s="17"/>
      <c r="D60" s="16" t="s">
        <v>12</v>
      </c>
      <c r="E60" s="18" t="s">
        <v>63</v>
      </c>
      <c r="F60" s="19">
        <f>F59+F50+F41+F33+F25+F17+F10</f>
        <v>14588717.219999997</v>
      </c>
      <c r="G60" s="19">
        <v>216.16</v>
      </c>
      <c r="H60" s="19">
        <f t="shared" si="0"/>
        <v>17506460.663999997</v>
      </c>
      <c r="I60" s="19">
        <f t="shared" si="1"/>
        <v>23633721.896399997</v>
      </c>
      <c r="J60" s="19">
        <f>J59+J50+J41+J33+J25+J17+J10</f>
        <v>25210876.1468</v>
      </c>
      <c r="K60" s="19">
        <f t="shared" ref="K60:S60" si="14">K59+K50+K41+K33+K25+K17+K10</f>
        <v>3557478</v>
      </c>
      <c r="L60" s="19">
        <f t="shared" si="14"/>
        <v>1773240</v>
      </c>
      <c r="M60" s="19">
        <f t="shared" si="14"/>
        <v>9385504</v>
      </c>
      <c r="N60" s="19">
        <f t="shared" si="14"/>
        <v>6727576.8699999992</v>
      </c>
      <c r="O60" s="19">
        <f t="shared" si="14"/>
        <v>7339766</v>
      </c>
      <c r="P60" s="19">
        <f t="shared" si="14"/>
        <v>3843727.5100000002</v>
      </c>
      <c r="Q60" s="19">
        <f t="shared" si="2"/>
        <v>48.965154198208552</v>
      </c>
      <c r="R60" s="19">
        <f t="shared" si="14"/>
        <v>4928127</v>
      </c>
      <c r="S60" s="19">
        <f t="shared" si="14"/>
        <v>-1.1468000001041219</v>
      </c>
    </row>
    <row r="61" spans="1:19" ht="18" customHeight="1">
      <c r="A61" s="5">
        <v>51</v>
      </c>
      <c r="B61" s="5">
        <v>8745</v>
      </c>
      <c r="C61" s="6" t="s">
        <v>343</v>
      </c>
      <c r="D61" s="5">
        <v>11015</v>
      </c>
      <c r="E61" s="7" t="s">
        <v>64</v>
      </c>
      <c r="F61" s="8">
        <v>82380.259999999995</v>
      </c>
      <c r="G61" s="8">
        <v>67.48</v>
      </c>
      <c r="H61" s="8">
        <f t="shared" si="0"/>
        <v>98856.312000000005</v>
      </c>
      <c r="I61" s="8">
        <f t="shared" si="1"/>
        <v>133456.02120000002</v>
      </c>
      <c r="J61" s="5">
        <v>364000</v>
      </c>
      <c r="K61" s="5">
        <v>165000</v>
      </c>
      <c r="L61" s="5">
        <v>5893</v>
      </c>
      <c r="M61" s="5"/>
      <c r="N61" s="8">
        <v>0</v>
      </c>
      <c r="O61" s="5">
        <v>200000</v>
      </c>
      <c r="P61" s="8">
        <v>33310.1</v>
      </c>
      <c r="Q61" s="8">
        <f t="shared" si="2"/>
        <v>10.770082417582417</v>
      </c>
      <c r="R61" s="5"/>
      <c r="S61" s="8">
        <f t="shared" ref="S61:S112" si="15">(K61+M61+O61+R61)-J61</f>
        <v>1000</v>
      </c>
    </row>
    <row r="62" spans="1:19" ht="18" customHeight="1">
      <c r="A62" s="5">
        <v>52</v>
      </c>
      <c r="B62" s="5">
        <v>5035</v>
      </c>
      <c r="C62" s="6" t="s">
        <v>344</v>
      </c>
      <c r="D62" s="5">
        <v>11014</v>
      </c>
      <c r="E62" s="7" t="s">
        <v>65</v>
      </c>
      <c r="F62" s="8">
        <v>295854.12</v>
      </c>
      <c r="G62" s="8">
        <v>284.16000000000003</v>
      </c>
      <c r="H62" s="8">
        <f t="shared" si="0"/>
        <v>355024.94400000002</v>
      </c>
      <c r="I62" s="8">
        <f t="shared" si="1"/>
        <v>479283.67440000002</v>
      </c>
      <c r="J62" s="8">
        <f t="shared" ref="J62:J68" si="16">+I62</f>
        <v>479283.67440000002</v>
      </c>
      <c r="K62" s="8">
        <v>200000</v>
      </c>
      <c r="L62" s="5">
        <v>161710</v>
      </c>
      <c r="M62" s="8"/>
      <c r="N62" s="8">
        <v>0</v>
      </c>
      <c r="O62" s="8">
        <v>280000</v>
      </c>
      <c r="P62" s="8">
        <v>96115.57</v>
      </c>
      <c r="Q62" s="8">
        <f t="shared" si="2"/>
        <v>53.793939533359577</v>
      </c>
      <c r="R62" s="8"/>
      <c r="S62" s="8">
        <f t="shared" si="15"/>
        <v>716.32559999998193</v>
      </c>
    </row>
    <row r="63" spans="1:19" ht="18" customHeight="1">
      <c r="A63" s="5">
        <v>53</v>
      </c>
      <c r="B63" s="5">
        <v>2311</v>
      </c>
      <c r="C63" s="6" t="s">
        <v>345</v>
      </c>
      <c r="D63" s="5">
        <v>11013</v>
      </c>
      <c r="E63" s="7" t="s">
        <v>66</v>
      </c>
      <c r="F63" s="8">
        <v>288863.43</v>
      </c>
      <c r="G63" s="8">
        <v>229.29</v>
      </c>
      <c r="H63" s="8">
        <f t="shared" si="0"/>
        <v>346636.11600000004</v>
      </c>
      <c r="I63" s="8">
        <f t="shared" si="1"/>
        <v>467958.75660000002</v>
      </c>
      <c r="J63" s="8">
        <f t="shared" si="16"/>
        <v>467958.75660000002</v>
      </c>
      <c r="K63" s="8">
        <v>250000</v>
      </c>
      <c r="L63" s="5">
        <v>152712</v>
      </c>
      <c r="M63" s="8"/>
      <c r="N63" s="8">
        <v>0</v>
      </c>
      <c r="O63" s="8">
        <v>220000</v>
      </c>
      <c r="P63" s="8">
        <v>115725.16</v>
      </c>
      <c r="Q63" s="8">
        <f t="shared" si="2"/>
        <v>57.363422783314583</v>
      </c>
      <c r="R63" s="8"/>
      <c r="S63" s="8">
        <f t="shared" si="15"/>
        <v>2041.2433999999776</v>
      </c>
    </row>
    <row r="64" spans="1:19" ht="18" customHeight="1">
      <c r="A64" s="5">
        <v>54</v>
      </c>
      <c r="B64" s="5">
        <v>6818</v>
      </c>
      <c r="C64" s="6" t="s">
        <v>346</v>
      </c>
      <c r="D64" s="5">
        <v>11017</v>
      </c>
      <c r="E64" s="7" t="s">
        <v>67</v>
      </c>
      <c r="F64" s="8">
        <v>282865.49</v>
      </c>
      <c r="G64" s="8">
        <v>235.92</v>
      </c>
      <c r="H64" s="8">
        <f t="shared" si="0"/>
        <v>339438.58799999999</v>
      </c>
      <c r="I64" s="8">
        <f t="shared" si="1"/>
        <v>458242.09379999997</v>
      </c>
      <c r="J64" s="8">
        <f t="shared" si="16"/>
        <v>458242.09379999997</v>
      </c>
      <c r="K64" s="8">
        <v>250000</v>
      </c>
      <c r="L64" s="5">
        <v>88087</v>
      </c>
      <c r="M64" s="8"/>
      <c r="N64" s="8">
        <v>0</v>
      </c>
      <c r="O64" s="8">
        <v>210000</v>
      </c>
      <c r="P64" s="8">
        <v>214940.95</v>
      </c>
      <c r="Q64" s="8">
        <f t="shared" si="2"/>
        <v>66.128353134720257</v>
      </c>
      <c r="R64" s="8"/>
      <c r="S64" s="8">
        <f t="shared" si="15"/>
        <v>1757.9062000000267</v>
      </c>
    </row>
    <row r="65" spans="1:19" ht="18" customHeight="1">
      <c r="A65" s="5">
        <v>55</v>
      </c>
      <c r="B65" s="5">
        <v>1522</v>
      </c>
      <c r="C65" s="6" t="s">
        <v>347</v>
      </c>
      <c r="D65" s="5">
        <v>12412</v>
      </c>
      <c r="E65" s="7" t="s">
        <v>68</v>
      </c>
      <c r="F65" s="8">
        <v>310832.09000000003</v>
      </c>
      <c r="G65" s="8">
        <v>297.7</v>
      </c>
      <c r="H65" s="8">
        <f t="shared" si="0"/>
        <v>372998.50800000003</v>
      </c>
      <c r="I65" s="8">
        <f t="shared" si="1"/>
        <v>503547.98580000002</v>
      </c>
      <c r="J65" s="8">
        <f t="shared" si="16"/>
        <v>503547.98580000002</v>
      </c>
      <c r="K65" s="8">
        <v>330000</v>
      </c>
      <c r="L65" s="5">
        <v>240500</v>
      </c>
      <c r="M65" s="8"/>
      <c r="N65" s="8">
        <v>9764.64</v>
      </c>
      <c r="O65" s="8">
        <v>174000</v>
      </c>
      <c r="P65" s="8">
        <v>134555.91</v>
      </c>
      <c r="Q65" s="8">
        <f t="shared" si="2"/>
        <v>76.421822914975095</v>
      </c>
      <c r="R65" s="8"/>
      <c r="S65" s="8">
        <f t="shared" si="15"/>
        <v>452.01419999997597</v>
      </c>
    </row>
    <row r="66" spans="1:19" ht="18" customHeight="1">
      <c r="A66" s="5">
        <v>56</v>
      </c>
      <c r="B66" s="5">
        <v>7627</v>
      </c>
      <c r="C66" s="6" t="s">
        <v>348</v>
      </c>
      <c r="D66" s="5">
        <v>13086</v>
      </c>
      <c r="E66" s="7" t="s">
        <v>69</v>
      </c>
      <c r="F66" s="8">
        <v>343723.56</v>
      </c>
      <c r="G66" s="8">
        <v>293.3</v>
      </c>
      <c r="H66" s="8">
        <f t="shared" si="0"/>
        <v>412468.272</v>
      </c>
      <c r="I66" s="8">
        <f t="shared" si="1"/>
        <v>556832.16720000003</v>
      </c>
      <c r="J66" s="8">
        <f t="shared" si="16"/>
        <v>556832.16720000003</v>
      </c>
      <c r="K66" s="8">
        <v>274000</v>
      </c>
      <c r="L66" s="5">
        <v>150875</v>
      </c>
      <c r="M66" s="8"/>
      <c r="N66" s="8">
        <v>0</v>
      </c>
      <c r="O66" s="8">
        <v>285000</v>
      </c>
      <c r="P66" s="8">
        <v>210931.49</v>
      </c>
      <c r="Q66" s="8">
        <f t="shared" si="2"/>
        <v>64.975860108679441</v>
      </c>
      <c r="R66" s="8"/>
      <c r="S66" s="8">
        <f t="shared" si="15"/>
        <v>2167.8327999999747</v>
      </c>
    </row>
    <row r="67" spans="1:19" ht="18" customHeight="1">
      <c r="A67" s="5">
        <v>57</v>
      </c>
      <c r="B67" s="5">
        <v>7266</v>
      </c>
      <c r="C67" s="6" t="s">
        <v>349</v>
      </c>
      <c r="D67" s="5">
        <v>13637</v>
      </c>
      <c r="E67" s="7" t="s">
        <v>70</v>
      </c>
      <c r="F67" s="8">
        <v>463244.22</v>
      </c>
      <c r="G67" s="8">
        <v>366.42</v>
      </c>
      <c r="H67" s="8">
        <f t="shared" si="0"/>
        <v>555893.06400000001</v>
      </c>
      <c r="I67" s="8">
        <f t="shared" si="1"/>
        <v>750455.63639999996</v>
      </c>
      <c r="J67" s="8">
        <f t="shared" si="16"/>
        <v>750455.63639999996</v>
      </c>
      <c r="K67" s="8"/>
      <c r="L67" s="5">
        <v>0</v>
      </c>
      <c r="M67" s="8">
        <v>750456</v>
      </c>
      <c r="N67" s="8">
        <v>365719.85</v>
      </c>
      <c r="O67" s="8"/>
      <c r="P67" s="8">
        <v>0</v>
      </c>
      <c r="Q67" s="8">
        <f t="shared" si="2"/>
        <v>48.733040603757665</v>
      </c>
      <c r="R67" s="8"/>
      <c r="S67" s="8">
        <f t="shared" si="15"/>
        <v>0.36360000004060566</v>
      </c>
    </row>
    <row r="68" spans="1:19" ht="18" customHeight="1">
      <c r="A68" s="5">
        <v>58</v>
      </c>
      <c r="B68" s="5">
        <v>1698</v>
      </c>
      <c r="C68" s="6" t="s">
        <v>350</v>
      </c>
      <c r="D68" s="5">
        <v>14704</v>
      </c>
      <c r="E68" s="7" t="s">
        <v>71</v>
      </c>
      <c r="F68" s="8">
        <v>238983.19999999998</v>
      </c>
      <c r="G68" s="8">
        <v>251.88</v>
      </c>
      <c r="H68" s="8">
        <f t="shared" ref="H68:H131" si="17">(F68/5)*6</f>
        <v>286779.83999999997</v>
      </c>
      <c r="I68" s="8">
        <f t="shared" ref="I68:I131" si="18">(H68*35%)+H68</f>
        <v>387152.78399999999</v>
      </c>
      <c r="J68" s="8">
        <f t="shared" si="16"/>
        <v>387152.78399999999</v>
      </c>
      <c r="K68" s="8">
        <v>250000</v>
      </c>
      <c r="L68" s="5">
        <v>142525</v>
      </c>
      <c r="M68" s="8"/>
      <c r="N68" s="8">
        <v>0</v>
      </c>
      <c r="O68" s="8">
        <v>140000</v>
      </c>
      <c r="P68" s="8">
        <v>127502.27</v>
      </c>
      <c r="Q68" s="8">
        <f t="shared" ref="Q68:Q131" si="19">(P68+N68+L68)/J68%</f>
        <v>69.746952923887548</v>
      </c>
      <c r="R68" s="8"/>
      <c r="S68" s="8">
        <f t="shared" si="15"/>
        <v>2847.2160000000149</v>
      </c>
    </row>
    <row r="69" spans="1:19" ht="18" customHeight="1">
      <c r="A69" s="10" t="s">
        <v>12</v>
      </c>
      <c r="B69" s="11"/>
      <c r="C69" s="12"/>
      <c r="D69" s="11" t="s">
        <v>12</v>
      </c>
      <c r="E69" s="13" t="s">
        <v>72</v>
      </c>
      <c r="F69" s="14">
        <f>SUM(F61:F68)</f>
        <v>2306746.37</v>
      </c>
      <c r="G69" s="14">
        <v>254.09</v>
      </c>
      <c r="H69" s="14">
        <f t="shared" si="17"/>
        <v>2768095.6440000003</v>
      </c>
      <c r="I69" s="14">
        <f t="shared" si="18"/>
        <v>3736929.1194000002</v>
      </c>
      <c r="J69" s="14">
        <f>SUM(J61:J68)</f>
        <v>3967473.0981999999</v>
      </c>
      <c r="K69" s="14">
        <f t="shared" ref="K69:S69" si="20">SUM(K61:K68)</f>
        <v>1719000</v>
      </c>
      <c r="L69" s="14">
        <f t="shared" si="20"/>
        <v>942302</v>
      </c>
      <c r="M69" s="14">
        <f t="shared" si="20"/>
        <v>750456</v>
      </c>
      <c r="N69" s="14">
        <f t="shared" si="20"/>
        <v>375484.49</v>
      </c>
      <c r="O69" s="14">
        <f t="shared" si="20"/>
        <v>1509000</v>
      </c>
      <c r="P69" s="14">
        <f t="shared" si="20"/>
        <v>933081.45000000007</v>
      </c>
      <c r="Q69" s="14">
        <f t="shared" si="19"/>
        <v>56.733035972473125</v>
      </c>
      <c r="R69" s="14">
        <f t="shared" si="20"/>
        <v>0</v>
      </c>
      <c r="S69" s="14">
        <f t="shared" si="20"/>
        <v>10982.901799999992</v>
      </c>
    </row>
    <row r="70" spans="1:19" ht="18" customHeight="1">
      <c r="A70" s="5">
        <v>59</v>
      </c>
      <c r="B70" s="5">
        <v>3468</v>
      </c>
      <c r="C70" s="6" t="s">
        <v>351</v>
      </c>
      <c r="D70" s="5">
        <v>13262</v>
      </c>
      <c r="E70" s="7" t="s">
        <v>73</v>
      </c>
      <c r="F70" s="8">
        <v>343388.89</v>
      </c>
      <c r="G70" s="8">
        <v>306.98</v>
      </c>
      <c r="H70" s="8">
        <f t="shared" si="17"/>
        <v>412066.66800000006</v>
      </c>
      <c r="I70" s="8">
        <f t="shared" si="18"/>
        <v>556290.00180000009</v>
      </c>
      <c r="J70" s="8">
        <v>556290.00180000009</v>
      </c>
      <c r="K70" s="8"/>
      <c r="L70" s="5">
        <v>0</v>
      </c>
      <c r="M70" s="8">
        <v>200000</v>
      </c>
      <c r="N70" s="8">
        <v>104085.23</v>
      </c>
      <c r="O70" s="8"/>
      <c r="P70" s="8">
        <v>0</v>
      </c>
      <c r="Q70" s="8">
        <f t="shared" si="19"/>
        <v>18.710605918353568</v>
      </c>
      <c r="R70" s="8">
        <v>356290</v>
      </c>
      <c r="S70" s="8">
        <f t="shared" si="15"/>
        <v>-1.8000000854954123E-3</v>
      </c>
    </row>
    <row r="71" spans="1:19" ht="18" customHeight="1">
      <c r="A71" s="5">
        <v>60</v>
      </c>
      <c r="B71" s="5">
        <v>7569</v>
      </c>
      <c r="C71" s="6" t="s">
        <v>352</v>
      </c>
      <c r="D71" s="5">
        <v>11012</v>
      </c>
      <c r="E71" s="7" t="s">
        <v>74</v>
      </c>
      <c r="F71" s="8">
        <v>391096.41000000003</v>
      </c>
      <c r="G71" s="8">
        <v>325.36</v>
      </c>
      <c r="H71" s="8">
        <f t="shared" si="17"/>
        <v>469315.69200000004</v>
      </c>
      <c r="I71" s="8">
        <f t="shared" si="18"/>
        <v>633576.18420000002</v>
      </c>
      <c r="J71" s="8">
        <v>633576.18420000002</v>
      </c>
      <c r="K71" s="8"/>
      <c r="L71" s="5">
        <v>0</v>
      </c>
      <c r="M71" s="8">
        <v>150000</v>
      </c>
      <c r="N71" s="8">
        <v>62216.77</v>
      </c>
      <c r="O71" s="8">
        <v>120000</v>
      </c>
      <c r="P71" s="8">
        <v>91759.53</v>
      </c>
      <c r="Q71" s="8">
        <f t="shared" si="19"/>
        <v>24.302728517869056</v>
      </c>
      <c r="R71" s="8">
        <v>363576</v>
      </c>
      <c r="S71" s="8">
        <f t="shared" si="15"/>
        <v>-0.18420000001788139</v>
      </c>
    </row>
    <row r="72" spans="1:19" ht="18" customHeight="1">
      <c r="A72" s="5">
        <v>61</v>
      </c>
      <c r="B72" s="5">
        <v>7221</v>
      </c>
      <c r="C72" s="6" t="s">
        <v>353</v>
      </c>
      <c r="D72" s="5">
        <v>11016</v>
      </c>
      <c r="E72" s="7" t="s">
        <v>75</v>
      </c>
      <c r="F72" s="8">
        <v>409632.33</v>
      </c>
      <c r="G72" s="8">
        <v>333.62</v>
      </c>
      <c r="H72" s="8">
        <f t="shared" si="17"/>
        <v>491558.79599999997</v>
      </c>
      <c r="I72" s="8">
        <f t="shared" si="18"/>
        <v>663604.37459999998</v>
      </c>
      <c r="J72" s="8">
        <v>663604.37459999998</v>
      </c>
      <c r="K72" s="8"/>
      <c r="L72" s="5">
        <v>0</v>
      </c>
      <c r="M72" s="8">
        <v>400000</v>
      </c>
      <c r="N72" s="8">
        <v>225406.04</v>
      </c>
      <c r="O72" s="8"/>
      <c r="P72" s="8">
        <v>0</v>
      </c>
      <c r="Q72" s="8">
        <f t="shared" si="19"/>
        <v>33.96693099497238</v>
      </c>
      <c r="R72" s="8">
        <v>263604</v>
      </c>
      <c r="S72" s="8">
        <f t="shared" si="15"/>
        <v>-0.37459999998100102</v>
      </c>
    </row>
    <row r="73" spans="1:19" ht="18" customHeight="1">
      <c r="A73" s="5">
        <v>62</v>
      </c>
      <c r="B73" s="5">
        <v>5472</v>
      </c>
      <c r="C73" s="6" t="s">
        <v>354</v>
      </c>
      <c r="D73" s="5">
        <v>13093</v>
      </c>
      <c r="E73" s="7" t="s">
        <v>76</v>
      </c>
      <c r="F73" s="8">
        <v>319978.57</v>
      </c>
      <c r="G73" s="8">
        <v>256.58</v>
      </c>
      <c r="H73" s="8">
        <f t="shared" si="17"/>
        <v>383974.28399999999</v>
      </c>
      <c r="I73" s="8">
        <f t="shared" si="18"/>
        <v>518365.28339999996</v>
      </c>
      <c r="J73" s="8">
        <v>518365.28339999996</v>
      </c>
      <c r="K73" s="8"/>
      <c r="L73" s="5">
        <v>0</v>
      </c>
      <c r="M73" s="8">
        <v>220000</v>
      </c>
      <c r="N73" s="8">
        <v>94427.92</v>
      </c>
      <c r="O73" s="8"/>
      <c r="P73" s="8">
        <v>0</v>
      </c>
      <c r="Q73" s="8">
        <f t="shared" si="19"/>
        <v>18.216482280726751</v>
      </c>
      <c r="R73" s="8">
        <v>298365</v>
      </c>
      <c r="S73" s="8">
        <f t="shared" si="15"/>
        <v>-0.28339999995660037</v>
      </c>
    </row>
    <row r="74" spans="1:19" ht="18" customHeight="1">
      <c r="A74" s="5">
        <v>63</v>
      </c>
      <c r="B74" s="5">
        <v>2741</v>
      </c>
      <c r="C74" s="6" t="s">
        <v>355</v>
      </c>
      <c r="D74" s="5">
        <v>11105</v>
      </c>
      <c r="E74" s="7" t="s">
        <v>77</v>
      </c>
      <c r="F74" s="8">
        <v>357980.36</v>
      </c>
      <c r="G74" s="8">
        <v>367.72</v>
      </c>
      <c r="H74" s="8">
        <f t="shared" si="17"/>
        <v>429576.43200000003</v>
      </c>
      <c r="I74" s="8">
        <f t="shared" si="18"/>
        <v>579928.18320000009</v>
      </c>
      <c r="J74" s="8">
        <v>579928.18320000009</v>
      </c>
      <c r="K74" s="8"/>
      <c r="L74" s="5">
        <v>0</v>
      </c>
      <c r="M74" s="8">
        <v>200000</v>
      </c>
      <c r="N74" s="8">
        <v>124389.87</v>
      </c>
      <c r="O74" s="8"/>
      <c r="P74" s="8">
        <v>0</v>
      </c>
      <c r="Q74" s="8">
        <f t="shared" si="19"/>
        <v>21.449185192833024</v>
      </c>
      <c r="R74" s="8">
        <v>379928</v>
      </c>
      <c r="S74" s="8">
        <f t="shared" si="15"/>
        <v>-0.18320000008679926</v>
      </c>
    </row>
    <row r="75" spans="1:19" ht="18" customHeight="1">
      <c r="A75" s="5">
        <v>64</v>
      </c>
      <c r="B75" s="5">
        <v>6494</v>
      </c>
      <c r="C75" s="6" t="s">
        <v>356</v>
      </c>
      <c r="D75" s="5">
        <v>11101</v>
      </c>
      <c r="E75" s="7" t="s">
        <v>78</v>
      </c>
      <c r="F75" s="8">
        <v>265131.64</v>
      </c>
      <c r="G75" s="8">
        <v>278.39</v>
      </c>
      <c r="H75" s="8">
        <f t="shared" si="17"/>
        <v>318157.96799999999</v>
      </c>
      <c r="I75" s="8">
        <f t="shared" si="18"/>
        <v>429513.25679999997</v>
      </c>
      <c r="J75" s="8">
        <v>429513.25679999997</v>
      </c>
      <c r="K75" s="8"/>
      <c r="L75" s="5">
        <v>0</v>
      </c>
      <c r="M75" s="8">
        <v>150000</v>
      </c>
      <c r="N75" s="8">
        <v>50509.01</v>
      </c>
      <c r="O75" s="8"/>
      <c r="P75" s="8">
        <v>0</v>
      </c>
      <c r="Q75" s="8">
        <f t="shared" si="19"/>
        <v>11.759592794948164</v>
      </c>
      <c r="R75" s="8">
        <v>279513</v>
      </c>
      <c r="S75" s="8">
        <f t="shared" si="15"/>
        <v>-0.2567999999737367</v>
      </c>
    </row>
    <row r="76" spans="1:19" ht="18" customHeight="1">
      <c r="A76" s="5">
        <v>65</v>
      </c>
      <c r="B76" s="5">
        <v>3680</v>
      </c>
      <c r="C76" s="6" t="s">
        <v>357</v>
      </c>
      <c r="D76" s="5">
        <v>12228</v>
      </c>
      <c r="E76" s="7" t="s">
        <v>79</v>
      </c>
      <c r="F76" s="8">
        <v>547432.35</v>
      </c>
      <c r="G76" s="8">
        <v>324.77</v>
      </c>
      <c r="H76" s="8">
        <f t="shared" si="17"/>
        <v>656918.82000000007</v>
      </c>
      <c r="I76" s="8">
        <f t="shared" si="18"/>
        <v>886840.40700000012</v>
      </c>
      <c r="J76" s="8">
        <v>886840.40700000012</v>
      </c>
      <c r="K76" s="8"/>
      <c r="L76" s="5">
        <v>0</v>
      </c>
      <c r="M76" s="8"/>
      <c r="N76" s="8">
        <v>0</v>
      </c>
      <c r="O76" s="8">
        <v>886840.40700000012</v>
      </c>
      <c r="P76" s="8">
        <v>442256.22</v>
      </c>
      <c r="Q76" s="8">
        <f t="shared" si="19"/>
        <v>49.868749383675741</v>
      </c>
      <c r="R76" s="8"/>
      <c r="S76" s="8">
        <f t="shared" si="15"/>
        <v>0</v>
      </c>
    </row>
    <row r="77" spans="1:19" ht="18" customHeight="1">
      <c r="A77" s="5">
        <v>66</v>
      </c>
      <c r="B77" s="5">
        <v>2253</v>
      </c>
      <c r="C77" s="6" t="s">
        <v>358</v>
      </c>
      <c r="D77" s="5">
        <v>11018</v>
      </c>
      <c r="E77" s="7" t="s">
        <v>80</v>
      </c>
      <c r="F77" s="8">
        <v>373370.54</v>
      </c>
      <c r="G77" s="8">
        <v>224.4</v>
      </c>
      <c r="H77" s="8">
        <f t="shared" si="17"/>
        <v>448044.64799999993</v>
      </c>
      <c r="I77" s="8">
        <f t="shared" si="18"/>
        <v>604860.2747999999</v>
      </c>
      <c r="J77" s="8">
        <v>604860.2747999999</v>
      </c>
      <c r="K77" s="8"/>
      <c r="L77" s="5">
        <v>0</v>
      </c>
      <c r="M77" s="8"/>
      <c r="N77" s="8">
        <v>0</v>
      </c>
      <c r="O77" s="8">
        <v>604860.2747999999</v>
      </c>
      <c r="P77" s="8">
        <v>302313.76</v>
      </c>
      <c r="Q77" s="8">
        <f t="shared" si="19"/>
        <v>49.980759622536226</v>
      </c>
      <c r="R77" s="8"/>
      <c r="S77" s="8">
        <f t="shared" si="15"/>
        <v>0</v>
      </c>
    </row>
    <row r="78" spans="1:19" ht="18" customHeight="1">
      <c r="A78" s="10" t="s">
        <v>12</v>
      </c>
      <c r="B78" s="11"/>
      <c r="C78" s="12"/>
      <c r="D78" s="11" t="s">
        <v>12</v>
      </c>
      <c r="E78" s="13" t="s">
        <v>81</v>
      </c>
      <c r="F78" s="14">
        <f>SUM(F70:F77)</f>
        <v>3008011.0900000003</v>
      </c>
      <c r="G78" s="14">
        <v>299.31</v>
      </c>
      <c r="H78" s="14">
        <f t="shared" si="17"/>
        <v>3609613.3080000007</v>
      </c>
      <c r="I78" s="14">
        <f t="shared" si="18"/>
        <v>4872977.9658000004</v>
      </c>
      <c r="J78" s="14">
        <f>SUM(J70:J77)</f>
        <v>4872977.9658000004</v>
      </c>
      <c r="K78" s="14">
        <f t="shared" ref="K78:S78" si="21">SUM(K70:K77)</f>
        <v>0</v>
      </c>
      <c r="L78" s="14">
        <f t="shared" si="21"/>
        <v>0</v>
      </c>
      <c r="M78" s="14">
        <f t="shared" si="21"/>
        <v>1320000</v>
      </c>
      <c r="N78" s="14">
        <f t="shared" si="21"/>
        <v>661034.84000000008</v>
      </c>
      <c r="O78" s="14">
        <f t="shared" si="21"/>
        <v>1611700.6817999999</v>
      </c>
      <c r="P78" s="14">
        <f t="shared" si="21"/>
        <v>836329.51</v>
      </c>
      <c r="Q78" s="14">
        <f t="shared" si="19"/>
        <v>30.727911361572854</v>
      </c>
      <c r="R78" s="14">
        <f t="shared" si="21"/>
        <v>1941276</v>
      </c>
      <c r="S78" s="14">
        <f t="shared" si="21"/>
        <v>-1.2840000001015142</v>
      </c>
    </row>
    <row r="79" spans="1:19" ht="18" customHeight="1">
      <c r="A79" s="5">
        <v>67</v>
      </c>
      <c r="B79" s="5">
        <v>5498</v>
      </c>
      <c r="C79" s="6" t="s">
        <v>359</v>
      </c>
      <c r="D79" s="5">
        <v>11100</v>
      </c>
      <c r="E79" s="7" t="s">
        <v>82</v>
      </c>
      <c r="F79" s="8">
        <v>566416.42999999993</v>
      </c>
      <c r="G79" s="8">
        <v>296.3</v>
      </c>
      <c r="H79" s="8">
        <f t="shared" si="17"/>
        <v>679699.71600000001</v>
      </c>
      <c r="I79" s="8">
        <f t="shared" si="18"/>
        <v>917594.61660000007</v>
      </c>
      <c r="J79" s="8">
        <f t="shared" ref="J79:J86" si="22">+I79</f>
        <v>917594.61660000007</v>
      </c>
      <c r="K79" s="8"/>
      <c r="L79" s="5">
        <v>0</v>
      </c>
      <c r="M79" s="8">
        <v>300000</v>
      </c>
      <c r="N79" s="8">
        <v>367193.29</v>
      </c>
      <c r="O79" s="8"/>
      <c r="P79" s="8">
        <v>0</v>
      </c>
      <c r="Q79" s="8">
        <f t="shared" si="19"/>
        <v>40.016940308627341</v>
      </c>
      <c r="R79" s="8">
        <v>617595</v>
      </c>
      <c r="S79" s="8">
        <f t="shared" si="15"/>
        <v>0.3833999999333173</v>
      </c>
    </row>
    <row r="80" spans="1:19" ht="18" customHeight="1">
      <c r="A80" s="5">
        <v>68</v>
      </c>
      <c r="B80" s="5">
        <v>6958</v>
      </c>
      <c r="C80" s="6" t="s">
        <v>360</v>
      </c>
      <c r="D80" s="5">
        <v>11102</v>
      </c>
      <c r="E80" s="7" t="s">
        <v>83</v>
      </c>
      <c r="F80" s="8">
        <v>569551.18999999994</v>
      </c>
      <c r="G80" s="8">
        <v>286.35000000000002</v>
      </c>
      <c r="H80" s="8">
        <f t="shared" si="17"/>
        <v>683461.42799999984</v>
      </c>
      <c r="I80" s="8">
        <f t="shared" si="18"/>
        <v>922672.92779999971</v>
      </c>
      <c r="J80" s="8">
        <f t="shared" si="22"/>
        <v>922672.92779999971</v>
      </c>
      <c r="K80" s="8"/>
      <c r="L80" s="5">
        <v>0</v>
      </c>
      <c r="M80" s="8">
        <v>350000</v>
      </c>
      <c r="N80" s="8">
        <v>224853.39</v>
      </c>
      <c r="O80" s="8">
        <v>200000</v>
      </c>
      <c r="P80" s="8">
        <v>189925.21</v>
      </c>
      <c r="Q80" s="8">
        <f t="shared" si="19"/>
        <v>44.954022980709816</v>
      </c>
      <c r="R80" s="8">
        <v>372673</v>
      </c>
      <c r="S80" s="8">
        <f t="shared" si="15"/>
        <v>7.2200000286102295E-2</v>
      </c>
    </row>
    <row r="81" spans="1:19" ht="18" customHeight="1">
      <c r="A81" s="5">
        <v>69</v>
      </c>
      <c r="B81" s="5">
        <v>5067</v>
      </c>
      <c r="C81" s="6" t="s">
        <v>361</v>
      </c>
      <c r="D81" s="5">
        <v>12908</v>
      </c>
      <c r="E81" s="7" t="s">
        <v>84</v>
      </c>
      <c r="F81" s="8">
        <v>537708.71</v>
      </c>
      <c r="G81" s="8">
        <v>294.97000000000003</v>
      </c>
      <c r="H81" s="8">
        <f t="shared" si="17"/>
        <v>645250.45200000005</v>
      </c>
      <c r="I81" s="8">
        <f t="shared" si="18"/>
        <v>871088.1102</v>
      </c>
      <c r="J81" s="8">
        <f t="shared" si="22"/>
        <v>871088.1102</v>
      </c>
      <c r="K81" s="8"/>
      <c r="L81" s="5">
        <v>0</v>
      </c>
      <c r="M81" s="8">
        <v>400000</v>
      </c>
      <c r="N81" s="8">
        <v>350371.27</v>
      </c>
      <c r="O81" s="8"/>
      <c r="P81" s="8">
        <v>0</v>
      </c>
      <c r="Q81" s="8">
        <f t="shared" si="19"/>
        <v>40.222253741881005</v>
      </c>
      <c r="R81" s="8">
        <v>471088</v>
      </c>
      <c r="S81" s="8">
        <f t="shared" si="15"/>
        <v>-0.11019999999552965</v>
      </c>
    </row>
    <row r="82" spans="1:19" ht="18" customHeight="1">
      <c r="A82" s="5">
        <v>70</v>
      </c>
      <c r="B82" s="5">
        <v>809</v>
      </c>
      <c r="C82" s="6" t="s">
        <v>362</v>
      </c>
      <c r="D82" s="5">
        <v>11103</v>
      </c>
      <c r="E82" s="7" t="s">
        <v>85</v>
      </c>
      <c r="F82" s="8">
        <v>432632.93</v>
      </c>
      <c r="G82" s="8">
        <v>285.68</v>
      </c>
      <c r="H82" s="8">
        <f t="shared" si="17"/>
        <v>519159.51599999995</v>
      </c>
      <c r="I82" s="8">
        <f t="shared" si="18"/>
        <v>700865.34659999993</v>
      </c>
      <c r="J82" s="8">
        <f t="shared" si="22"/>
        <v>700865.34659999993</v>
      </c>
      <c r="K82" s="8"/>
      <c r="L82" s="5">
        <v>0</v>
      </c>
      <c r="M82" s="8">
        <v>200000</v>
      </c>
      <c r="N82" s="8">
        <v>156416.85999999999</v>
      </c>
      <c r="O82" s="8">
        <v>150000</v>
      </c>
      <c r="P82" s="8">
        <v>101947.58</v>
      </c>
      <c r="Q82" s="8">
        <f t="shared" si="19"/>
        <v>36.863634541693862</v>
      </c>
      <c r="R82" s="8">
        <v>350865</v>
      </c>
      <c r="S82" s="8">
        <f t="shared" si="15"/>
        <v>-0.34659999993164092</v>
      </c>
    </row>
    <row r="83" spans="1:19" ht="18" customHeight="1">
      <c r="A83" s="5">
        <v>71</v>
      </c>
      <c r="B83" s="5">
        <v>6661</v>
      </c>
      <c r="C83" s="6" t="s">
        <v>363</v>
      </c>
      <c r="D83" s="5">
        <v>12544</v>
      </c>
      <c r="E83" s="7" t="s">
        <v>86</v>
      </c>
      <c r="F83" s="8">
        <v>341657.47</v>
      </c>
      <c r="G83" s="8">
        <v>230.2</v>
      </c>
      <c r="H83" s="8">
        <f t="shared" si="17"/>
        <v>409988.96399999992</v>
      </c>
      <c r="I83" s="8">
        <f t="shared" si="18"/>
        <v>553485.10139999981</v>
      </c>
      <c r="J83" s="8">
        <f t="shared" si="22"/>
        <v>553485.10139999981</v>
      </c>
      <c r="K83" s="8"/>
      <c r="L83" s="5">
        <v>0</v>
      </c>
      <c r="M83" s="8">
        <v>200000</v>
      </c>
      <c r="N83" s="8">
        <v>101863.71</v>
      </c>
      <c r="O83" s="8"/>
      <c r="P83" s="8">
        <v>0</v>
      </c>
      <c r="Q83" s="8">
        <f t="shared" si="19"/>
        <v>18.404056358941414</v>
      </c>
      <c r="R83" s="8">
        <v>353485</v>
      </c>
      <c r="S83" s="8">
        <f t="shared" si="15"/>
        <v>-0.10139999981038272</v>
      </c>
    </row>
    <row r="84" spans="1:19" ht="18" customHeight="1">
      <c r="A84" s="5">
        <v>72</v>
      </c>
      <c r="B84" s="5">
        <v>8767</v>
      </c>
      <c r="C84" s="26" t="s">
        <v>529</v>
      </c>
      <c r="D84" s="5">
        <v>13179</v>
      </c>
      <c r="E84" s="7" t="s">
        <v>87</v>
      </c>
      <c r="F84" s="8">
        <v>358925.88</v>
      </c>
      <c r="G84" s="8">
        <v>264.75</v>
      </c>
      <c r="H84" s="8">
        <f t="shared" si="17"/>
        <v>430711.05600000004</v>
      </c>
      <c r="I84" s="8">
        <f t="shared" si="18"/>
        <v>581459.92560000008</v>
      </c>
      <c r="J84" s="8">
        <f t="shared" si="22"/>
        <v>581459.92560000008</v>
      </c>
      <c r="K84" s="8"/>
      <c r="L84" s="5">
        <v>0</v>
      </c>
      <c r="M84" s="8">
        <v>250000</v>
      </c>
      <c r="N84" s="8">
        <v>149568.99</v>
      </c>
      <c r="O84" s="8"/>
      <c r="P84" s="8">
        <v>0</v>
      </c>
      <c r="Q84" s="8">
        <f t="shared" si="19"/>
        <v>25.723009173101985</v>
      </c>
      <c r="R84" s="8">
        <v>331460</v>
      </c>
      <c r="S84" s="8">
        <f t="shared" si="15"/>
        <v>7.43999999249354E-2</v>
      </c>
    </row>
    <row r="85" spans="1:19" ht="18" customHeight="1">
      <c r="A85" s="5">
        <v>73</v>
      </c>
      <c r="B85" s="5">
        <v>7582</v>
      </c>
      <c r="C85" s="6" t="s">
        <v>364</v>
      </c>
      <c r="D85" s="5">
        <v>14535</v>
      </c>
      <c r="E85" s="7" t="s">
        <v>88</v>
      </c>
      <c r="F85" s="8">
        <v>339008.56000000006</v>
      </c>
      <c r="G85" s="8">
        <v>265.31</v>
      </c>
      <c r="H85" s="8">
        <f t="shared" si="17"/>
        <v>406810.27200000011</v>
      </c>
      <c r="I85" s="8">
        <f t="shared" si="18"/>
        <v>549193.86720000021</v>
      </c>
      <c r="J85" s="8">
        <f t="shared" si="22"/>
        <v>549193.86720000021</v>
      </c>
      <c r="K85" s="8"/>
      <c r="L85" s="5">
        <v>0</v>
      </c>
      <c r="M85" s="8">
        <v>250000</v>
      </c>
      <c r="N85" s="8">
        <v>158416.01</v>
      </c>
      <c r="O85" s="8"/>
      <c r="P85" s="8">
        <v>0</v>
      </c>
      <c r="Q85" s="8">
        <f t="shared" si="19"/>
        <v>28.845189187502264</v>
      </c>
      <c r="R85" s="8">
        <v>299194</v>
      </c>
      <c r="S85" s="8">
        <f t="shared" si="15"/>
        <v>0.13279999978840351</v>
      </c>
    </row>
    <row r="86" spans="1:19" ht="18" customHeight="1">
      <c r="A86" s="5">
        <v>74</v>
      </c>
      <c r="B86" s="5">
        <v>1893</v>
      </c>
      <c r="C86" s="6" t="s">
        <v>365</v>
      </c>
      <c r="D86" s="5">
        <v>11104</v>
      </c>
      <c r="E86" s="7" t="s">
        <v>89</v>
      </c>
      <c r="F86" s="8">
        <v>494375.63</v>
      </c>
      <c r="G86" s="8">
        <v>336.89</v>
      </c>
      <c r="H86" s="8">
        <f t="shared" si="17"/>
        <v>593250.75600000005</v>
      </c>
      <c r="I86" s="8">
        <f t="shared" si="18"/>
        <v>800888.52060000005</v>
      </c>
      <c r="J86" s="8">
        <f t="shared" si="22"/>
        <v>800888.52060000005</v>
      </c>
      <c r="K86" s="8"/>
      <c r="L86" s="5">
        <v>0</v>
      </c>
      <c r="M86" s="8">
        <v>400000</v>
      </c>
      <c r="N86" s="8">
        <v>215473.07</v>
      </c>
      <c r="O86" s="8"/>
      <c r="P86" s="8">
        <v>0</v>
      </c>
      <c r="Q86" s="8">
        <f t="shared" si="19"/>
        <v>26.904252521758519</v>
      </c>
      <c r="R86" s="8">
        <v>400889</v>
      </c>
      <c r="S86" s="8">
        <f t="shared" si="15"/>
        <v>0.47939999995287508</v>
      </c>
    </row>
    <row r="87" spans="1:19" ht="18" customHeight="1">
      <c r="A87" s="10" t="s">
        <v>12</v>
      </c>
      <c r="B87" s="11"/>
      <c r="C87" s="12"/>
      <c r="D87" s="11" t="s">
        <v>12</v>
      </c>
      <c r="E87" s="13" t="s">
        <v>90</v>
      </c>
      <c r="F87" s="14">
        <f>SUM(F79:F86)</f>
        <v>3640276.7999999993</v>
      </c>
      <c r="G87" s="14">
        <v>284.07</v>
      </c>
      <c r="H87" s="14">
        <f t="shared" si="17"/>
        <v>4368332.1599999992</v>
      </c>
      <c r="I87" s="14">
        <f t="shared" si="18"/>
        <v>5897248.4159999993</v>
      </c>
      <c r="J87" s="14">
        <f>SUM(J79:J86)</f>
        <v>5897248.4160000002</v>
      </c>
      <c r="K87" s="14">
        <f t="shared" ref="K87:S87" si="23">SUM(K79:K86)</f>
        <v>0</v>
      </c>
      <c r="L87" s="14">
        <f t="shared" si="23"/>
        <v>0</v>
      </c>
      <c r="M87" s="14">
        <f t="shared" si="23"/>
        <v>2350000</v>
      </c>
      <c r="N87" s="14">
        <f t="shared" si="23"/>
        <v>1724156.59</v>
      </c>
      <c r="O87" s="14">
        <f t="shared" si="23"/>
        <v>350000</v>
      </c>
      <c r="P87" s="14">
        <f t="shared" si="23"/>
        <v>291872.78999999998</v>
      </c>
      <c r="Q87" s="14">
        <f t="shared" si="19"/>
        <v>34.185932790795292</v>
      </c>
      <c r="R87" s="14">
        <f t="shared" si="23"/>
        <v>3197249</v>
      </c>
      <c r="S87" s="14">
        <f t="shared" si="23"/>
        <v>0.58400000014808029</v>
      </c>
    </row>
    <row r="88" spans="1:19" ht="18" customHeight="1">
      <c r="A88" s="5">
        <v>75</v>
      </c>
      <c r="B88" s="5">
        <v>1806</v>
      </c>
      <c r="C88" s="6" t="s">
        <v>366</v>
      </c>
      <c r="D88" s="5">
        <v>11126</v>
      </c>
      <c r="E88" s="7" t="s">
        <v>91</v>
      </c>
      <c r="F88" s="8">
        <v>514087.37000000005</v>
      </c>
      <c r="G88" s="8">
        <v>355.98</v>
      </c>
      <c r="H88" s="8">
        <f t="shared" si="17"/>
        <v>616904.84400000004</v>
      </c>
      <c r="I88" s="8">
        <f t="shared" si="18"/>
        <v>832821.53940000001</v>
      </c>
      <c r="J88" s="8">
        <v>832821.53940000001</v>
      </c>
      <c r="K88" s="8">
        <v>50000</v>
      </c>
      <c r="L88" s="5">
        <v>43860</v>
      </c>
      <c r="M88" s="8">
        <v>400000</v>
      </c>
      <c r="N88" s="8">
        <v>25643.95</v>
      </c>
      <c r="O88" s="8">
        <v>250000</v>
      </c>
      <c r="P88" s="8">
        <v>251250.66</v>
      </c>
      <c r="Q88" s="8">
        <f t="shared" si="19"/>
        <v>38.514206804867847</v>
      </c>
      <c r="R88" s="8">
        <v>133000</v>
      </c>
      <c r="S88" s="8">
        <f t="shared" si="15"/>
        <v>178.46059999999125</v>
      </c>
    </row>
    <row r="89" spans="1:19" ht="18" customHeight="1">
      <c r="A89" s="5">
        <v>76</v>
      </c>
      <c r="B89" s="5">
        <v>5869</v>
      </c>
      <c r="C89" s="6" t="s">
        <v>367</v>
      </c>
      <c r="D89" s="5">
        <v>13238</v>
      </c>
      <c r="E89" s="7" t="s">
        <v>92</v>
      </c>
      <c r="F89" s="8">
        <v>381001.43</v>
      </c>
      <c r="G89" s="8">
        <v>302.56</v>
      </c>
      <c r="H89" s="8">
        <f t="shared" si="17"/>
        <v>457201.71599999996</v>
      </c>
      <c r="I89" s="8">
        <f t="shared" si="18"/>
        <v>617222.3165999999</v>
      </c>
      <c r="J89" s="8">
        <v>617222.3165999999</v>
      </c>
      <c r="K89" s="8">
        <v>100000</v>
      </c>
      <c r="L89" s="5">
        <v>21201</v>
      </c>
      <c r="M89" s="8">
        <v>165000</v>
      </c>
      <c r="N89" s="8">
        <v>49754.95</v>
      </c>
      <c r="O89" s="8">
        <v>300000</v>
      </c>
      <c r="P89" s="8">
        <v>98299.98</v>
      </c>
      <c r="Q89" s="8">
        <f t="shared" si="19"/>
        <v>27.422198687233927</v>
      </c>
      <c r="R89" s="8">
        <v>55000</v>
      </c>
      <c r="S89" s="8">
        <f t="shared" si="15"/>
        <v>2777.6834000000963</v>
      </c>
    </row>
    <row r="90" spans="1:19" ht="18" customHeight="1">
      <c r="A90" s="5">
        <v>77</v>
      </c>
      <c r="B90" s="5">
        <v>6867</v>
      </c>
      <c r="C90" s="6" t="s">
        <v>368</v>
      </c>
      <c r="D90" s="5">
        <v>11127</v>
      </c>
      <c r="E90" s="7" t="s">
        <v>93</v>
      </c>
      <c r="F90" s="8">
        <v>325694.81000000006</v>
      </c>
      <c r="G90" s="8">
        <v>229.91</v>
      </c>
      <c r="H90" s="8">
        <f t="shared" si="17"/>
        <v>390833.77200000011</v>
      </c>
      <c r="I90" s="8">
        <f t="shared" si="18"/>
        <v>527625.59220000019</v>
      </c>
      <c r="J90" s="8">
        <v>527625.59220000019</v>
      </c>
      <c r="K90" s="8">
        <v>50000</v>
      </c>
      <c r="L90" s="5">
        <v>17239</v>
      </c>
      <c r="M90" s="8">
        <v>80000</v>
      </c>
      <c r="N90" s="8">
        <v>28205.43</v>
      </c>
      <c r="O90" s="8">
        <v>350000</v>
      </c>
      <c r="P90" s="8">
        <v>178722.06</v>
      </c>
      <c r="Q90" s="8">
        <f t="shared" si="19"/>
        <v>42.485901615444781</v>
      </c>
      <c r="R90" s="8">
        <v>50000</v>
      </c>
      <c r="S90" s="8">
        <f t="shared" si="15"/>
        <v>2374.4077999998117</v>
      </c>
    </row>
    <row r="91" spans="1:19" ht="18" customHeight="1">
      <c r="A91" s="5">
        <v>78</v>
      </c>
      <c r="B91" s="5">
        <v>1594</v>
      </c>
      <c r="C91" s="6" t="s">
        <v>369</v>
      </c>
      <c r="D91" s="5">
        <v>11125</v>
      </c>
      <c r="E91" s="7" t="s">
        <v>94</v>
      </c>
      <c r="F91" s="8">
        <v>280967.27999999997</v>
      </c>
      <c r="G91" s="8">
        <v>192.46</v>
      </c>
      <c r="H91" s="8">
        <f t="shared" si="17"/>
        <v>337160.73599999992</v>
      </c>
      <c r="I91" s="8">
        <f t="shared" si="18"/>
        <v>455166.99359999987</v>
      </c>
      <c r="J91" s="8">
        <v>580519.98363743979</v>
      </c>
      <c r="K91" s="5">
        <v>41000</v>
      </c>
      <c r="L91" s="5">
        <v>14979</v>
      </c>
      <c r="M91" s="5">
        <v>70000</v>
      </c>
      <c r="N91" s="8">
        <v>25134.720000000001</v>
      </c>
      <c r="O91" s="5">
        <v>350000</v>
      </c>
      <c r="P91" s="8">
        <v>193259.4</v>
      </c>
      <c r="Q91" s="8">
        <f t="shared" si="19"/>
        <v>40.200703951261694</v>
      </c>
      <c r="R91" s="5">
        <v>120000</v>
      </c>
      <c r="S91" s="8">
        <f t="shared" si="15"/>
        <v>480.01636256021447</v>
      </c>
    </row>
    <row r="92" spans="1:19" ht="18" customHeight="1">
      <c r="A92" s="5">
        <v>79</v>
      </c>
      <c r="B92" s="5">
        <v>3676</v>
      </c>
      <c r="C92" s="6" t="s">
        <v>370</v>
      </c>
      <c r="D92" s="5">
        <v>12294</v>
      </c>
      <c r="E92" s="7" t="s">
        <v>95</v>
      </c>
      <c r="F92" s="8">
        <v>511303.37</v>
      </c>
      <c r="G92" s="8">
        <v>362.46</v>
      </c>
      <c r="H92" s="8">
        <f t="shared" si="17"/>
        <v>613564.04399999999</v>
      </c>
      <c r="I92" s="8">
        <f t="shared" si="18"/>
        <v>828311.45940000005</v>
      </c>
      <c r="J92" s="8">
        <v>828311.45940000005</v>
      </c>
      <c r="K92" s="8">
        <v>100000</v>
      </c>
      <c r="L92" s="5">
        <v>12745</v>
      </c>
      <c r="M92" s="8">
        <v>200000</v>
      </c>
      <c r="N92" s="8">
        <v>44535.72</v>
      </c>
      <c r="O92" s="8">
        <v>400000</v>
      </c>
      <c r="P92" s="8">
        <v>277225.23</v>
      </c>
      <c r="Q92" s="8">
        <f t="shared" si="19"/>
        <v>40.384078501377296</v>
      </c>
      <c r="R92" s="8">
        <v>129000</v>
      </c>
      <c r="S92" s="8">
        <f t="shared" si="15"/>
        <v>688.54059999994934</v>
      </c>
    </row>
    <row r="93" spans="1:19" ht="18" customHeight="1">
      <c r="A93" s="5">
        <v>80</v>
      </c>
      <c r="B93" s="5">
        <v>6253</v>
      </c>
      <c r="C93" s="6" t="s">
        <v>371</v>
      </c>
      <c r="D93" s="5">
        <v>11124</v>
      </c>
      <c r="E93" s="7" t="s">
        <v>96</v>
      </c>
      <c r="F93" s="8">
        <v>287020.77</v>
      </c>
      <c r="G93" s="8">
        <v>224.56</v>
      </c>
      <c r="H93" s="8">
        <f t="shared" si="17"/>
        <v>344424.924</v>
      </c>
      <c r="I93" s="8">
        <f t="shared" si="18"/>
        <v>464973.64740000002</v>
      </c>
      <c r="J93" s="8">
        <v>464973.64740000002</v>
      </c>
      <c r="K93" s="8">
        <v>50000</v>
      </c>
      <c r="L93" s="5">
        <v>22654</v>
      </c>
      <c r="M93" s="8">
        <v>65000</v>
      </c>
      <c r="N93" s="8">
        <v>34540.58</v>
      </c>
      <c r="O93" s="8">
        <v>220000</v>
      </c>
      <c r="P93" s="8">
        <v>178290.2</v>
      </c>
      <c r="Q93" s="8">
        <f t="shared" si="19"/>
        <v>50.644758324856419</v>
      </c>
      <c r="R93" s="8">
        <v>130000</v>
      </c>
      <c r="S93" s="8">
        <f t="shared" si="15"/>
        <v>26.352599999983795</v>
      </c>
    </row>
    <row r="94" spans="1:19" ht="18" customHeight="1">
      <c r="A94" s="5">
        <v>81</v>
      </c>
      <c r="B94" s="5">
        <v>4159</v>
      </c>
      <c r="C94" s="6" t="s">
        <v>372</v>
      </c>
      <c r="D94" s="5">
        <v>11121</v>
      </c>
      <c r="E94" s="7" t="s">
        <v>97</v>
      </c>
      <c r="F94" s="8">
        <v>247498.46000000002</v>
      </c>
      <c r="G94" s="8">
        <v>216.71</v>
      </c>
      <c r="H94" s="8">
        <f t="shared" si="17"/>
        <v>296998.152</v>
      </c>
      <c r="I94" s="8">
        <f t="shared" si="18"/>
        <v>400947.50520000001</v>
      </c>
      <c r="J94" s="8">
        <v>414138.67812108004</v>
      </c>
      <c r="K94" s="5">
        <v>50000</v>
      </c>
      <c r="L94" s="5">
        <v>27586</v>
      </c>
      <c r="M94" s="5">
        <v>105000</v>
      </c>
      <c r="N94" s="8">
        <v>126388.64</v>
      </c>
      <c r="O94" s="5">
        <v>175000</v>
      </c>
      <c r="P94" s="8">
        <v>81791.899999999994</v>
      </c>
      <c r="Q94" s="8">
        <f t="shared" si="19"/>
        <v>56.92936990808424</v>
      </c>
      <c r="R94" s="5">
        <v>85000</v>
      </c>
      <c r="S94" s="8">
        <f t="shared" si="15"/>
        <v>861.32187891996</v>
      </c>
    </row>
    <row r="95" spans="1:19" ht="18" customHeight="1">
      <c r="A95" s="5">
        <v>82</v>
      </c>
      <c r="B95" s="5">
        <v>3265</v>
      </c>
      <c r="C95" s="6" t="s">
        <v>373</v>
      </c>
      <c r="D95" s="5">
        <v>14710</v>
      </c>
      <c r="E95" s="7" t="s">
        <v>98</v>
      </c>
      <c r="F95" s="8">
        <v>146314.49</v>
      </c>
      <c r="G95" s="8">
        <v>125.93</v>
      </c>
      <c r="H95" s="8">
        <f t="shared" si="17"/>
        <v>175577.38799999998</v>
      </c>
      <c r="I95" s="8">
        <f t="shared" si="18"/>
        <v>237029.47379999998</v>
      </c>
      <c r="J95" s="8">
        <v>460003.09980366001</v>
      </c>
      <c r="K95" s="5">
        <v>30000</v>
      </c>
      <c r="L95" s="5">
        <v>38360</v>
      </c>
      <c r="M95" s="5">
        <v>41000</v>
      </c>
      <c r="N95" s="8">
        <v>61610.97</v>
      </c>
      <c r="O95" s="5">
        <v>200000</v>
      </c>
      <c r="P95" s="8">
        <v>53275.37</v>
      </c>
      <c r="Q95" s="8">
        <f t="shared" si="19"/>
        <v>33.314197244629241</v>
      </c>
      <c r="R95" s="5">
        <v>190000</v>
      </c>
      <c r="S95" s="8">
        <f t="shared" si="15"/>
        <v>996.90019633999327</v>
      </c>
    </row>
    <row r="96" spans="1:19" ht="18" customHeight="1">
      <c r="A96" s="10" t="s">
        <v>12</v>
      </c>
      <c r="B96" s="11"/>
      <c r="C96" s="12"/>
      <c r="D96" s="11" t="s">
        <v>12</v>
      </c>
      <c r="E96" s="13" t="s">
        <v>99</v>
      </c>
      <c r="F96" s="14">
        <f>SUM(F88:F95)</f>
        <v>2693887.9800000004</v>
      </c>
      <c r="G96" s="14">
        <v>255.02</v>
      </c>
      <c r="H96" s="14">
        <f t="shared" si="17"/>
        <v>3232665.5760000008</v>
      </c>
      <c r="I96" s="14">
        <f t="shared" si="18"/>
        <v>4364098.5276000015</v>
      </c>
      <c r="J96" s="14">
        <f>SUM(J88:J95)</f>
        <v>4725616.3165621795</v>
      </c>
      <c r="K96" s="14">
        <f t="shared" ref="K96:S96" si="24">SUM(K88:K95)</f>
        <v>471000</v>
      </c>
      <c r="L96" s="14">
        <f t="shared" si="24"/>
        <v>198624</v>
      </c>
      <c r="M96" s="14">
        <f t="shared" si="24"/>
        <v>1126000</v>
      </c>
      <c r="N96" s="14">
        <f t="shared" si="24"/>
        <v>395814.95999999996</v>
      </c>
      <c r="O96" s="14">
        <f t="shared" si="24"/>
        <v>2245000</v>
      </c>
      <c r="P96" s="14">
        <f t="shared" si="24"/>
        <v>1312114.8</v>
      </c>
      <c r="Q96" s="14">
        <f t="shared" si="19"/>
        <v>40.345081620739613</v>
      </c>
      <c r="R96" s="14">
        <f t="shared" si="24"/>
        <v>892000</v>
      </c>
      <c r="S96" s="14">
        <f t="shared" si="24"/>
        <v>8383.6834378200001</v>
      </c>
    </row>
    <row r="97" spans="1:19" ht="18" customHeight="1">
      <c r="A97" s="5">
        <v>83</v>
      </c>
      <c r="B97" s="5">
        <v>4036</v>
      </c>
      <c r="C97" s="6" t="s">
        <v>374</v>
      </c>
      <c r="D97" s="5">
        <v>11076</v>
      </c>
      <c r="E97" s="7" t="s">
        <v>100</v>
      </c>
      <c r="F97" s="8">
        <v>345412.81</v>
      </c>
      <c r="G97" s="8">
        <v>228.68</v>
      </c>
      <c r="H97" s="8">
        <f t="shared" si="17"/>
        <v>414495.37200000003</v>
      </c>
      <c r="I97" s="8">
        <f t="shared" si="18"/>
        <v>559568.75219999999</v>
      </c>
      <c r="J97" s="8">
        <f t="shared" ref="J97:J103" si="25">+I97</f>
        <v>559568.75219999999</v>
      </c>
      <c r="K97" s="8">
        <v>259569</v>
      </c>
      <c r="L97" s="5">
        <v>212737</v>
      </c>
      <c r="M97" s="8"/>
      <c r="N97" s="8">
        <v>0</v>
      </c>
      <c r="O97" s="8">
        <v>300000</v>
      </c>
      <c r="P97" s="8">
        <v>224981.08</v>
      </c>
      <c r="Q97" s="8">
        <f t="shared" si="19"/>
        <v>78.224182154394427</v>
      </c>
      <c r="R97" s="8"/>
      <c r="S97" s="8">
        <f t="shared" si="15"/>
        <v>0.24780000001192093</v>
      </c>
    </row>
    <row r="98" spans="1:19" ht="18" customHeight="1">
      <c r="A98" s="5">
        <v>84</v>
      </c>
      <c r="B98" s="5">
        <v>5138</v>
      </c>
      <c r="C98" s="6" t="s">
        <v>375</v>
      </c>
      <c r="D98" s="5">
        <v>12938</v>
      </c>
      <c r="E98" s="7" t="s">
        <v>101</v>
      </c>
      <c r="F98" s="8">
        <v>368415.91000000003</v>
      </c>
      <c r="G98" s="8">
        <v>258.79000000000002</v>
      </c>
      <c r="H98" s="8">
        <f t="shared" si="17"/>
        <v>442099.092</v>
      </c>
      <c r="I98" s="8">
        <f t="shared" si="18"/>
        <v>596833.77419999999</v>
      </c>
      <c r="J98" s="8">
        <f t="shared" si="25"/>
        <v>596833.77419999999</v>
      </c>
      <c r="K98" s="8">
        <v>296834</v>
      </c>
      <c r="L98" s="5">
        <v>216108</v>
      </c>
      <c r="M98" s="8"/>
      <c r="N98" s="8">
        <v>0</v>
      </c>
      <c r="O98" s="8">
        <v>300000</v>
      </c>
      <c r="P98" s="8">
        <v>185155.59</v>
      </c>
      <c r="Q98" s="8">
        <f t="shared" si="19"/>
        <v>67.232051426355085</v>
      </c>
      <c r="R98" s="8"/>
      <c r="S98" s="8">
        <f t="shared" si="15"/>
        <v>0.2258000000147149</v>
      </c>
    </row>
    <row r="99" spans="1:19" ht="18" customHeight="1">
      <c r="A99" s="5">
        <v>85</v>
      </c>
      <c r="B99" s="5">
        <v>1619</v>
      </c>
      <c r="C99" s="6" t="s">
        <v>376</v>
      </c>
      <c r="D99" s="5">
        <v>11071</v>
      </c>
      <c r="E99" s="7" t="s">
        <v>102</v>
      </c>
      <c r="F99" s="8">
        <v>332786.53999999998</v>
      </c>
      <c r="G99" s="8">
        <v>275.39999999999998</v>
      </c>
      <c r="H99" s="8">
        <f t="shared" si="17"/>
        <v>399343.84799999994</v>
      </c>
      <c r="I99" s="8">
        <f t="shared" si="18"/>
        <v>539114.19479999994</v>
      </c>
      <c r="J99" s="8">
        <f t="shared" si="25"/>
        <v>539114.19479999994</v>
      </c>
      <c r="K99" s="8">
        <v>50000</v>
      </c>
      <c r="L99" s="5">
        <v>61358</v>
      </c>
      <c r="M99" s="8">
        <v>190000</v>
      </c>
      <c r="N99" s="8">
        <v>137236.20000000001</v>
      </c>
      <c r="O99" s="8">
        <v>250000</v>
      </c>
      <c r="P99" s="8">
        <v>103929.15</v>
      </c>
      <c r="Q99" s="8">
        <f t="shared" si="19"/>
        <v>56.114892339688772</v>
      </c>
      <c r="R99" s="8">
        <v>49114</v>
      </c>
      <c r="S99" s="8">
        <f t="shared" si="15"/>
        <v>-0.19479999993927777</v>
      </c>
    </row>
    <row r="100" spans="1:19" ht="18" customHeight="1">
      <c r="A100" s="5">
        <v>86</v>
      </c>
      <c r="B100" s="5">
        <v>2921</v>
      </c>
      <c r="C100" s="6" t="s">
        <v>377</v>
      </c>
      <c r="D100" s="5">
        <v>14658</v>
      </c>
      <c r="E100" s="7" t="s">
        <v>103</v>
      </c>
      <c r="F100" s="8">
        <v>346701.62</v>
      </c>
      <c r="G100" s="8">
        <v>325.02999999999997</v>
      </c>
      <c r="H100" s="8">
        <f t="shared" si="17"/>
        <v>416041.94399999996</v>
      </c>
      <c r="I100" s="8">
        <f t="shared" si="18"/>
        <v>561656.62439999997</v>
      </c>
      <c r="J100" s="8">
        <f t="shared" si="25"/>
        <v>561656.62439999997</v>
      </c>
      <c r="K100" s="8">
        <v>150000</v>
      </c>
      <c r="L100" s="5">
        <v>62157</v>
      </c>
      <c r="M100" s="8">
        <v>200000</v>
      </c>
      <c r="N100" s="8">
        <v>92550.48</v>
      </c>
      <c r="O100" s="8">
        <v>150000</v>
      </c>
      <c r="P100" s="8">
        <v>135898.78</v>
      </c>
      <c r="Q100" s="8">
        <f t="shared" si="19"/>
        <v>51.740912040420696</v>
      </c>
      <c r="R100" s="8">
        <v>61657</v>
      </c>
      <c r="S100" s="8">
        <f t="shared" si="15"/>
        <v>0.37560000002849847</v>
      </c>
    </row>
    <row r="101" spans="1:19" ht="18" customHeight="1">
      <c r="A101" s="5">
        <v>87</v>
      </c>
      <c r="B101" s="5">
        <v>1701</v>
      </c>
      <c r="C101" s="6" t="s">
        <v>378</v>
      </c>
      <c r="D101" s="5">
        <v>11072</v>
      </c>
      <c r="E101" s="7" t="s">
        <v>104</v>
      </c>
      <c r="F101" s="8">
        <v>382773.92</v>
      </c>
      <c r="G101" s="8">
        <v>259.25</v>
      </c>
      <c r="H101" s="8">
        <f t="shared" si="17"/>
        <v>459328.70400000003</v>
      </c>
      <c r="I101" s="8">
        <f t="shared" si="18"/>
        <v>620093.75040000002</v>
      </c>
      <c r="J101" s="8">
        <f t="shared" si="25"/>
        <v>620093.75040000002</v>
      </c>
      <c r="K101" s="8">
        <v>100000</v>
      </c>
      <c r="L101" s="5">
        <v>86554</v>
      </c>
      <c r="M101" s="8">
        <v>250000</v>
      </c>
      <c r="N101" s="8">
        <v>109380.59</v>
      </c>
      <c r="O101" s="8">
        <v>200000</v>
      </c>
      <c r="P101" s="8">
        <v>10333.59</v>
      </c>
      <c r="Q101" s="8">
        <f t="shared" si="19"/>
        <v>33.264031425400411</v>
      </c>
      <c r="R101" s="8">
        <v>70094</v>
      </c>
      <c r="S101" s="8">
        <f t="shared" si="15"/>
        <v>0.24959999998100102</v>
      </c>
    </row>
    <row r="102" spans="1:19" ht="18" customHeight="1">
      <c r="A102" s="5">
        <v>88</v>
      </c>
      <c r="B102" s="5">
        <v>7302</v>
      </c>
      <c r="C102" s="6" t="s">
        <v>379</v>
      </c>
      <c r="D102" s="5">
        <v>13107</v>
      </c>
      <c r="E102" s="7" t="s">
        <v>105</v>
      </c>
      <c r="F102" s="8">
        <v>361266.07999999996</v>
      </c>
      <c r="G102" s="8">
        <v>249.09</v>
      </c>
      <c r="H102" s="8">
        <f t="shared" si="17"/>
        <v>433519.29599999991</v>
      </c>
      <c r="I102" s="8">
        <f t="shared" si="18"/>
        <v>585251.04959999991</v>
      </c>
      <c r="J102" s="8">
        <f t="shared" si="25"/>
        <v>585251.04959999991</v>
      </c>
      <c r="K102" s="8">
        <v>150000</v>
      </c>
      <c r="L102" s="5">
        <v>24966</v>
      </c>
      <c r="M102" s="8">
        <v>150000</v>
      </c>
      <c r="N102" s="8">
        <v>40215.56</v>
      </c>
      <c r="O102" s="8">
        <v>150000</v>
      </c>
      <c r="P102" s="8">
        <v>0</v>
      </c>
      <c r="Q102" s="8">
        <f t="shared" si="19"/>
        <v>11.137367467268872</v>
      </c>
      <c r="R102" s="8">
        <v>135251</v>
      </c>
      <c r="S102" s="8">
        <f t="shared" si="15"/>
        <v>-4.9599999911151826E-2</v>
      </c>
    </row>
    <row r="103" spans="1:19" ht="18" customHeight="1">
      <c r="A103" s="5">
        <v>89</v>
      </c>
      <c r="B103" s="5">
        <v>7371</v>
      </c>
      <c r="C103" s="6" t="s">
        <v>380</v>
      </c>
      <c r="D103" s="5">
        <v>12226</v>
      </c>
      <c r="E103" s="7" t="s">
        <v>106</v>
      </c>
      <c r="F103" s="8">
        <v>392528.53</v>
      </c>
      <c r="G103" s="8">
        <v>345.13</v>
      </c>
      <c r="H103" s="8">
        <f t="shared" si="17"/>
        <v>471034.23600000003</v>
      </c>
      <c r="I103" s="8">
        <f t="shared" si="18"/>
        <v>635896.21860000002</v>
      </c>
      <c r="J103" s="8">
        <f t="shared" si="25"/>
        <v>635896.21860000002</v>
      </c>
      <c r="K103" s="8">
        <v>150000</v>
      </c>
      <c r="L103" s="5">
        <v>92027</v>
      </c>
      <c r="M103" s="8">
        <v>200000</v>
      </c>
      <c r="N103" s="8">
        <v>96039.37</v>
      </c>
      <c r="O103" s="8">
        <v>150000</v>
      </c>
      <c r="P103" s="8">
        <v>84110.14</v>
      </c>
      <c r="Q103" s="8">
        <f t="shared" si="19"/>
        <v>42.802033105217774</v>
      </c>
      <c r="R103" s="8">
        <v>135896</v>
      </c>
      <c r="S103" s="8">
        <f t="shared" si="15"/>
        <v>-0.21860000002197921</v>
      </c>
    </row>
    <row r="104" spans="1:19" ht="18" customHeight="1">
      <c r="A104" s="5">
        <v>90</v>
      </c>
      <c r="B104" s="5">
        <v>5009</v>
      </c>
      <c r="C104" s="6" t="s">
        <v>369</v>
      </c>
      <c r="D104" s="5">
        <v>11073</v>
      </c>
      <c r="E104" s="7" t="s">
        <v>107</v>
      </c>
      <c r="F104" s="8">
        <v>236594.38</v>
      </c>
      <c r="G104" s="8">
        <v>188.49</v>
      </c>
      <c r="H104" s="8">
        <f t="shared" si="17"/>
        <v>283913.25600000005</v>
      </c>
      <c r="I104" s="8">
        <f t="shared" si="18"/>
        <v>383282.89560000005</v>
      </c>
      <c r="J104" s="5">
        <v>420000</v>
      </c>
      <c r="K104" s="5">
        <v>70000</v>
      </c>
      <c r="L104" s="5">
        <v>46288</v>
      </c>
      <c r="M104" s="5">
        <v>100000</v>
      </c>
      <c r="N104" s="8">
        <v>61299.58</v>
      </c>
      <c r="O104" s="5">
        <v>200000</v>
      </c>
      <c r="P104" s="8">
        <v>107750.19</v>
      </c>
      <c r="Q104" s="8">
        <f t="shared" si="19"/>
        <v>51.270897619047624</v>
      </c>
      <c r="R104" s="5">
        <v>50000</v>
      </c>
      <c r="S104" s="8">
        <f t="shared" si="15"/>
        <v>0</v>
      </c>
    </row>
    <row r="105" spans="1:19" ht="18" customHeight="1">
      <c r="A105" s="10" t="s">
        <v>12</v>
      </c>
      <c r="B105" s="11"/>
      <c r="C105" s="12"/>
      <c r="D105" s="11" t="s">
        <v>12</v>
      </c>
      <c r="E105" s="13" t="s">
        <v>108</v>
      </c>
      <c r="F105" s="14">
        <f>SUM(F97:F104)</f>
        <v>2766479.79</v>
      </c>
      <c r="G105" s="14">
        <v>263.06</v>
      </c>
      <c r="H105" s="14">
        <f t="shared" si="17"/>
        <v>3319775.7479999997</v>
      </c>
      <c r="I105" s="14">
        <f t="shared" si="18"/>
        <v>4481697.2597999992</v>
      </c>
      <c r="J105" s="14">
        <f>SUM(J97:J104)</f>
        <v>4518414.3641999997</v>
      </c>
      <c r="K105" s="14">
        <f t="shared" ref="K105:S105" si="26">SUM(K97:K104)</f>
        <v>1226403</v>
      </c>
      <c r="L105" s="14">
        <f t="shared" si="26"/>
        <v>802195</v>
      </c>
      <c r="M105" s="14">
        <f>SUM(M97:M104)</f>
        <v>1090000</v>
      </c>
      <c r="N105" s="14">
        <f>SUM(N97:N104)</f>
        <v>536721.78</v>
      </c>
      <c r="O105" s="14">
        <f t="shared" si="26"/>
        <v>1700000</v>
      </c>
      <c r="P105" s="14">
        <f t="shared" si="26"/>
        <v>852158.52</v>
      </c>
      <c r="Q105" s="14">
        <f t="shared" si="19"/>
        <v>48.492128507738954</v>
      </c>
      <c r="R105" s="14">
        <f t="shared" si="26"/>
        <v>502012</v>
      </c>
      <c r="S105" s="14">
        <f t="shared" si="26"/>
        <v>0.63580000016372651</v>
      </c>
    </row>
    <row r="106" spans="1:19" ht="18" customHeight="1">
      <c r="A106" s="5">
        <v>91</v>
      </c>
      <c r="B106" s="5">
        <v>3023</v>
      </c>
      <c r="C106" s="6" t="s">
        <v>381</v>
      </c>
      <c r="D106" s="5">
        <v>12543</v>
      </c>
      <c r="E106" s="7" t="s">
        <v>109</v>
      </c>
      <c r="F106" s="8">
        <v>484580.57999999996</v>
      </c>
      <c r="G106" s="8">
        <v>364.39</v>
      </c>
      <c r="H106" s="8">
        <f t="shared" si="17"/>
        <v>581496.696</v>
      </c>
      <c r="I106" s="8">
        <f t="shared" si="18"/>
        <v>785020.53960000002</v>
      </c>
      <c r="J106" s="8">
        <v>785020.53960000002</v>
      </c>
      <c r="K106" s="8">
        <v>100000</v>
      </c>
      <c r="L106" s="5">
        <v>16284</v>
      </c>
      <c r="M106" s="8">
        <v>300000</v>
      </c>
      <c r="N106" s="8">
        <v>238301.25</v>
      </c>
      <c r="O106" s="8">
        <v>250000</v>
      </c>
      <c r="P106" s="8">
        <v>82487.06</v>
      </c>
      <c r="Q106" s="8">
        <f t="shared" si="19"/>
        <v>42.938024293192647</v>
      </c>
      <c r="R106" s="8">
        <v>150000</v>
      </c>
      <c r="S106" s="8">
        <f t="shared" si="15"/>
        <v>14979.460399999982</v>
      </c>
    </row>
    <row r="107" spans="1:19" ht="18" customHeight="1">
      <c r="A107" s="5">
        <v>92</v>
      </c>
      <c r="B107" s="5">
        <v>1896</v>
      </c>
      <c r="C107" s="6" t="s">
        <v>382</v>
      </c>
      <c r="D107" s="5">
        <v>14511</v>
      </c>
      <c r="E107" s="7" t="s">
        <v>110</v>
      </c>
      <c r="F107" s="8">
        <v>514687.61</v>
      </c>
      <c r="G107" s="8">
        <v>387.87</v>
      </c>
      <c r="H107" s="8">
        <f t="shared" si="17"/>
        <v>617625.13199999998</v>
      </c>
      <c r="I107" s="8">
        <f t="shared" si="18"/>
        <v>833793.92819999997</v>
      </c>
      <c r="J107" s="8">
        <v>833793.92819999997</v>
      </c>
      <c r="K107" s="8">
        <v>150000</v>
      </c>
      <c r="L107" s="5">
        <v>9792</v>
      </c>
      <c r="M107" s="8">
        <v>300000</v>
      </c>
      <c r="N107" s="8">
        <v>241661.11</v>
      </c>
      <c r="O107" s="8">
        <v>280000</v>
      </c>
      <c r="P107" s="8">
        <v>15356.85</v>
      </c>
      <c r="Q107" s="8">
        <f t="shared" si="19"/>
        <v>31.999508628707712</v>
      </c>
      <c r="R107" s="8">
        <v>150000</v>
      </c>
      <c r="S107" s="8">
        <f t="shared" si="15"/>
        <v>46206.071800000034</v>
      </c>
    </row>
    <row r="108" spans="1:19" ht="18" customHeight="1">
      <c r="A108" s="5">
        <v>93</v>
      </c>
      <c r="B108" s="5">
        <v>4160</v>
      </c>
      <c r="C108" s="6" t="s">
        <v>383</v>
      </c>
      <c r="D108" s="5">
        <v>11077</v>
      </c>
      <c r="E108" s="7" t="s">
        <v>111</v>
      </c>
      <c r="F108" s="8">
        <v>513180.02</v>
      </c>
      <c r="G108" s="8">
        <v>352.03</v>
      </c>
      <c r="H108" s="8">
        <f t="shared" si="17"/>
        <v>615816.02399999998</v>
      </c>
      <c r="I108" s="8">
        <f t="shared" si="18"/>
        <v>831351.6324</v>
      </c>
      <c r="J108" s="8">
        <v>831351.6324</v>
      </c>
      <c r="K108" s="8">
        <v>250000</v>
      </c>
      <c r="L108" s="5">
        <v>20970</v>
      </c>
      <c r="M108" s="8">
        <v>400000</v>
      </c>
      <c r="N108" s="8">
        <v>251326.66</v>
      </c>
      <c r="O108" s="8">
        <v>150000</v>
      </c>
      <c r="P108" s="8">
        <v>141640.35999999999</v>
      </c>
      <c r="Q108" s="8">
        <f t="shared" si="19"/>
        <v>49.790847081760056</v>
      </c>
      <c r="R108" s="8">
        <v>50000</v>
      </c>
      <c r="S108" s="8">
        <f t="shared" si="15"/>
        <v>18648.367599999998</v>
      </c>
    </row>
    <row r="109" spans="1:19" ht="18" customHeight="1">
      <c r="A109" s="5">
        <v>94</v>
      </c>
      <c r="B109" s="5">
        <v>963</v>
      </c>
      <c r="C109" s="6" t="s">
        <v>384</v>
      </c>
      <c r="D109" s="5">
        <v>11074</v>
      </c>
      <c r="E109" s="7" t="s">
        <v>112</v>
      </c>
      <c r="F109" s="8">
        <v>388354.09</v>
      </c>
      <c r="G109" s="8">
        <v>227.31</v>
      </c>
      <c r="H109" s="8">
        <f t="shared" si="17"/>
        <v>466024.908</v>
      </c>
      <c r="I109" s="8">
        <f t="shared" si="18"/>
        <v>629133.62580000004</v>
      </c>
      <c r="J109" s="8">
        <v>629133.62580000004</v>
      </c>
      <c r="K109" s="8"/>
      <c r="L109" s="5">
        <v>0</v>
      </c>
      <c r="M109" s="8">
        <v>350000</v>
      </c>
      <c r="N109" s="8">
        <v>240843.93</v>
      </c>
      <c r="O109" s="8"/>
      <c r="P109" s="8">
        <v>0</v>
      </c>
      <c r="Q109" s="8">
        <f t="shared" si="19"/>
        <v>38.281840315520455</v>
      </c>
      <c r="R109" s="8">
        <v>300000</v>
      </c>
      <c r="S109" s="8">
        <f t="shared" si="15"/>
        <v>20866.374199999962</v>
      </c>
    </row>
    <row r="110" spans="1:19" ht="18" customHeight="1">
      <c r="A110" s="5">
        <v>95</v>
      </c>
      <c r="B110" s="5">
        <v>1063</v>
      </c>
      <c r="C110" s="6" t="s">
        <v>385</v>
      </c>
      <c r="D110" s="5">
        <v>11099</v>
      </c>
      <c r="E110" s="7" t="s">
        <v>113</v>
      </c>
      <c r="F110" s="8">
        <v>314057.47000000003</v>
      </c>
      <c r="G110" s="8">
        <v>224.46</v>
      </c>
      <c r="H110" s="8">
        <f t="shared" si="17"/>
        <v>376868.96400000004</v>
      </c>
      <c r="I110" s="8">
        <f t="shared" si="18"/>
        <v>508773.10140000004</v>
      </c>
      <c r="J110" s="8">
        <v>508773.10140000004</v>
      </c>
      <c r="K110" s="8"/>
      <c r="L110" s="5">
        <v>0</v>
      </c>
      <c r="M110" s="8">
        <v>250000</v>
      </c>
      <c r="N110" s="8">
        <v>150936.82999999999</v>
      </c>
      <c r="O110" s="8"/>
      <c r="P110" s="8">
        <v>0</v>
      </c>
      <c r="Q110" s="8">
        <f t="shared" si="19"/>
        <v>29.666825857079392</v>
      </c>
      <c r="R110" s="8">
        <v>258773</v>
      </c>
      <c r="S110" s="8">
        <f t="shared" si="15"/>
        <v>-0.10140000004321337</v>
      </c>
    </row>
    <row r="111" spans="1:19" ht="18" customHeight="1">
      <c r="A111" s="5">
        <v>96</v>
      </c>
      <c r="B111" s="5">
        <v>6138</v>
      </c>
      <c r="C111" s="6" t="s">
        <v>386</v>
      </c>
      <c r="D111" s="5">
        <v>12542</v>
      </c>
      <c r="E111" s="7" t="s">
        <v>114</v>
      </c>
      <c r="F111" s="8">
        <v>295440.34000000003</v>
      </c>
      <c r="G111" s="8">
        <v>224.74</v>
      </c>
      <c r="H111" s="8">
        <f t="shared" si="17"/>
        <v>354528.40800000005</v>
      </c>
      <c r="I111" s="8">
        <f t="shared" si="18"/>
        <v>478613.35080000007</v>
      </c>
      <c r="J111" s="8">
        <v>478613.35080000007</v>
      </c>
      <c r="K111" s="8"/>
      <c r="L111" s="5">
        <v>0</v>
      </c>
      <c r="M111" s="8">
        <v>200000</v>
      </c>
      <c r="N111" s="8">
        <v>137997.74</v>
      </c>
      <c r="O111" s="8"/>
      <c r="P111" s="8">
        <v>0</v>
      </c>
      <c r="Q111" s="8">
        <f t="shared" si="19"/>
        <v>28.832822939296904</v>
      </c>
      <c r="R111" s="8">
        <v>278613</v>
      </c>
      <c r="S111" s="8">
        <f t="shared" si="15"/>
        <v>-0.35080000007292256</v>
      </c>
    </row>
    <row r="112" spans="1:19" ht="18" customHeight="1">
      <c r="A112" s="5">
        <v>97</v>
      </c>
      <c r="B112" s="5">
        <v>1903</v>
      </c>
      <c r="C112" s="6" t="s">
        <v>387</v>
      </c>
      <c r="D112" s="5">
        <v>11075</v>
      </c>
      <c r="E112" s="7" t="s">
        <v>115</v>
      </c>
      <c r="F112" s="8">
        <v>389605.5</v>
      </c>
      <c r="G112" s="8">
        <v>228.65</v>
      </c>
      <c r="H112" s="8">
        <f t="shared" si="17"/>
        <v>467526.60000000003</v>
      </c>
      <c r="I112" s="8">
        <f t="shared" si="18"/>
        <v>631160.91</v>
      </c>
      <c r="J112" s="8">
        <v>631160.91</v>
      </c>
      <c r="K112" s="8">
        <v>60000</v>
      </c>
      <c r="L112" s="5">
        <v>57509</v>
      </c>
      <c r="M112" s="8">
        <v>200000</v>
      </c>
      <c r="N112" s="8">
        <v>50909.7</v>
      </c>
      <c r="O112" s="8">
        <v>330000</v>
      </c>
      <c r="P112" s="8">
        <v>249657.85</v>
      </c>
      <c r="Q112" s="8">
        <f t="shared" si="19"/>
        <v>56.733004900446062</v>
      </c>
      <c r="R112" s="8">
        <v>42000</v>
      </c>
      <c r="S112" s="8">
        <f t="shared" si="15"/>
        <v>839.0899999999674</v>
      </c>
    </row>
    <row r="113" spans="1:19" ht="18" customHeight="1">
      <c r="A113" s="10" t="s">
        <v>12</v>
      </c>
      <c r="B113" s="11"/>
      <c r="C113" s="12"/>
      <c r="D113" s="11" t="s">
        <v>12</v>
      </c>
      <c r="E113" s="13" t="s">
        <v>116</v>
      </c>
      <c r="F113" s="14">
        <f>SUM(F106:F112)</f>
        <v>2899905.61</v>
      </c>
      <c r="G113" s="14">
        <v>284.87</v>
      </c>
      <c r="H113" s="14">
        <f t="shared" si="17"/>
        <v>3479886.7319999998</v>
      </c>
      <c r="I113" s="14">
        <f t="shared" si="18"/>
        <v>4697847.0881999992</v>
      </c>
      <c r="J113" s="14">
        <f>SUM(J106:J112)</f>
        <v>4697847.0882000001</v>
      </c>
      <c r="K113" s="14">
        <f t="shared" ref="K113:S113" si="27">SUM(K106:K112)</f>
        <v>560000</v>
      </c>
      <c r="L113" s="14">
        <f t="shared" si="27"/>
        <v>104555</v>
      </c>
      <c r="M113" s="14">
        <f t="shared" si="27"/>
        <v>2000000</v>
      </c>
      <c r="N113" s="14">
        <f t="shared" si="27"/>
        <v>1311977.22</v>
      </c>
      <c r="O113" s="14">
        <f t="shared" si="27"/>
        <v>1010000</v>
      </c>
      <c r="P113" s="14">
        <f t="shared" si="27"/>
        <v>489142.12</v>
      </c>
      <c r="Q113" s="14">
        <f t="shared" si="19"/>
        <v>40.564843942806299</v>
      </c>
      <c r="R113" s="14">
        <f t="shared" si="27"/>
        <v>1229386</v>
      </c>
      <c r="S113" s="14">
        <f t="shared" si="27"/>
        <v>101538.91179999983</v>
      </c>
    </row>
    <row r="114" spans="1:19" ht="18" customHeight="1">
      <c r="A114" s="16" t="s">
        <v>12</v>
      </c>
      <c r="B114" s="16"/>
      <c r="C114" s="17"/>
      <c r="D114" s="16" t="s">
        <v>12</v>
      </c>
      <c r="E114" s="18" t="s">
        <v>117</v>
      </c>
      <c r="F114" s="19">
        <f>F113+F105+F96+F87+F78+F69</f>
        <v>17315307.640000001</v>
      </c>
      <c r="G114" s="19">
        <v>273.86</v>
      </c>
      <c r="H114" s="19">
        <f t="shared" si="17"/>
        <v>20778369.167999998</v>
      </c>
      <c r="I114" s="19">
        <f t="shared" si="18"/>
        <v>28050798.376799997</v>
      </c>
      <c r="J114" s="19">
        <f>J113+J105+J96+J87+J78+J69</f>
        <v>28679577.248962179</v>
      </c>
      <c r="K114" s="19">
        <f t="shared" ref="K114:S114" si="28">K113+K105+K96+K87+K78+K69</f>
        <v>3976403</v>
      </c>
      <c r="L114" s="19">
        <f t="shared" si="28"/>
        <v>2047676</v>
      </c>
      <c r="M114" s="19">
        <f t="shared" si="28"/>
        <v>8636456</v>
      </c>
      <c r="N114" s="19">
        <f t="shared" si="28"/>
        <v>5005189.88</v>
      </c>
      <c r="O114" s="19">
        <f t="shared" si="28"/>
        <v>8425700.6818000004</v>
      </c>
      <c r="P114" s="19">
        <f t="shared" si="28"/>
        <v>4714699.1900000004</v>
      </c>
      <c r="Q114" s="19">
        <f t="shared" si="19"/>
        <v>41.031166421484933</v>
      </c>
      <c r="R114" s="19">
        <f t="shared" si="28"/>
        <v>7761923</v>
      </c>
      <c r="S114" s="19">
        <f t="shared" si="28"/>
        <v>120905.43283782003</v>
      </c>
    </row>
    <row r="115" spans="1:19" ht="18" customHeight="1">
      <c r="A115" s="5">
        <v>98</v>
      </c>
      <c r="B115" s="5">
        <v>2135</v>
      </c>
      <c r="C115" s="6" t="s">
        <v>388</v>
      </c>
      <c r="D115" s="5">
        <v>11139</v>
      </c>
      <c r="E115" s="7" t="s">
        <v>118</v>
      </c>
      <c r="F115" s="8">
        <v>683465.48</v>
      </c>
      <c r="G115" s="8">
        <v>405.69</v>
      </c>
      <c r="H115" s="8">
        <f t="shared" si="17"/>
        <v>820158.57599999988</v>
      </c>
      <c r="I115" s="8">
        <f t="shared" si="18"/>
        <v>1107214.0776</v>
      </c>
      <c r="J115" s="8">
        <f t="shared" ref="J115:J121" si="29">+I115</f>
        <v>1107214.0776</v>
      </c>
      <c r="K115" s="8"/>
      <c r="L115" s="5">
        <v>0</v>
      </c>
      <c r="M115" s="8">
        <v>850000</v>
      </c>
      <c r="N115" s="8">
        <v>620000.1</v>
      </c>
      <c r="O115" s="8"/>
      <c r="P115" s="8">
        <v>-8482.76</v>
      </c>
      <c r="Q115" s="8">
        <f t="shared" si="19"/>
        <v>55.230271396614327</v>
      </c>
      <c r="R115" s="8">
        <v>260000</v>
      </c>
      <c r="S115" s="8">
        <f t="shared" ref="S115:S174" si="30">(K115+M115+O115+R115)-J115</f>
        <v>2785.9224000000395</v>
      </c>
    </row>
    <row r="116" spans="1:19" ht="18" customHeight="1">
      <c r="A116" s="5">
        <v>99</v>
      </c>
      <c r="B116" s="5">
        <v>7137</v>
      </c>
      <c r="C116" s="6" t="s">
        <v>389</v>
      </c>
      <c r="D116" s="5">
        <v>11135</v>
      </c>
      <c r="E116" s="7" t="s">
        <v>119</v>
      </c>
      <c r="F116" s="8">
        <v>544452.85000000009</v>
      </c>
      <c r="G116" s="8">
        <v>358.19</v>
      </c>
      <c r="H116" s="8">
        <f t="shared" si="17"/>
        <v>653343.42000000016</v>
      </c>
      <c r="I116" s="8">
        <f t="shared" si="18"/>
        <v>882013.6170000002</v>
      </c>
      <c r="J116" s="8">
        <f t="shared" si="29"/>
        <v>882013.6170000002</v>
      </c>
      <c r="K116" s="8">
        <v>50000</v>
      </c>
      <c r="L116" s="5">
        <v>29653</v>
      </c>
      <c r="M116" s="8">
        <v>750000</v>
      </c>
      <c r="N116" s="8">
        <v>483741.78</v>
      </c>
      <c r="O116" s="8"/>
      <c r="P116" s="8">
        <v>-32598.21</v>
      </c>
      <c r="Q116" s="8">
        <f t="shared" si="19"/>
        <v>54.511241179624548</v>
      </c>
      <c r="R116" s="8">
        <v>85000</v>
      </c>
      <c r="S116" s="8">
        <f t="shared" si="30"/>
        <v>2986.3829999997979</v>
      </c>
    </row>
    <row r="117" spans="1:19" ht="18" customHeight="1">
      <c r="A117" s="5">
        <v>100</v>
      </c>
      <c r="B117" s="5">
        <v>2134</v>
      </c>
      <c r="C117" s="6" t="s">
        <v>390</v>
      </c>
      <c r="D117" s="5">
        <v>11138</v>
      </c>
      <c r="E117" s="7" t="s">
        <v>120</v>
      </c>
      <c r="F117" s="8">
        <v>530848</v>
      </c>
      <c r="G117" s="8">
        <v>326.67</v>
      </c>
      <c r="H117" s="8">
        <f t="shared" si="17"/>
        <v>637017.60000000009</v>
      </c>
      <c r="I117" s="8">
        <f t="shared" si="18"/>
        <v>859973.76000000013</v>
      </c>
      <c r="J117" s="8">
        <f t="shared" si="29"/>
        <v>859973.76000000013</v>
      </c>
      <c r="K117" s="8">
        <v>450000</v>
      </c>
      <c r="L117" s="5">
        <v>296646</v>
      </c>
      <c r="M117" s="8"/>
      <c r="N117" s="8">
        <v>0</v>
      </c>
      <c r="O117" s="8">
        <v>300000</v>
      </c>
      <c r="P117" s="8">
        <v>214233.48</v>
      </c>
      <c r="Q117" s="8">
        <f t="shared" si="19"/>
        <v>59.406403283746698</v>
      </c>
      <c r="R117" s="8">
        <v>110000</v>
      </c>
      <c r="S117" s="8">
        <f t="shared" si="30"/>
        <v>26.239999999874271</v>
      </c>
    </row>
    <row r="118" spans="1:19" ht="18" customHeight="1">
      <c r="A118" s="5">
        <v>101</v>
      </c>
      <c r="B118" s="5">
        <v>3727</v>
      </c>
      <c r="C118" s="6" t="s">
        <v>391</v>
      </c>
      <c r="D118" s="5">
        <v>12344</v>
      </c>
      <c r="E118" s="7" t="s">
        <v>121</v>
      </c>
      <c r="F118" s="8">
        <v>597255.72</v>
      </c>
      <c r="G118" s="8">
        <v>382.12</v>
      </c>
      <c r="H118" s="8">
        <f t="shared" si="17"/>
        <v>716706.86400000006</v>
      </c>
      <c r="I118" s="8">
        <f t="shared" si="18"/>
        <v>967554.26640000008</v>
      </c>
      <c r="J118" s="8">
        <f t="shared" si="29"/>
        <v>967554.26640000008</v>
      </c>
      <c r="K118" s="8"/>
      <c r="L118" s="5">
        <v>0</v>
      </c>
      <c r="M118" s="8">
        <v>850000</v>
      </c>
      <c r="N118" s="8">
        <v>507856.31</v>
      </c>
      <c r="O118" s="8"/>
      <c r="P118" s="8">
        <v>-3965.54</v>
      </c>
      <c r="Q118" s="8">
        <f t="shared" si="19"/>
        <v>52.078812269087216</v>
      </c>
      <c r="R118" s="8">
        <v>120000</v>
      </c>
      <c r="S118" s="8">
        <f t="shared" si="30"/>
        <v>2445.7335999999195</v>
      </c>
    </row>
    <row r="119" spans="1:19" ht="18" customHeight="1">
      <c r="A119" s="5">
        <v>102</v>
      </c>
      <c r="B119" s="5">
        <v>6603</v>
      </c>
      <c r="C119" s="6" t="s">
        <v>392</v>
      </c>
      <c r="D119" s="5">
        <v>13028</v>
      </c>
      <c r="E119" s="7" t="s">
        <v>122</v>
      </c>
      <c r="F119" s="8">
        <v>546026.87</v>
      </c>
      <c r="G119" s="8">
        <v>398.91</v>
      </c>
      <c r="H119" s="8">
        <f t="shared" si="17"/>
        <v>655232.24399999995</v>
      </c>
      <c r="I119" s="8">
        <f t="shared" si="18"/>
        <v>884563.52939999988</v>
      </c>
      <c r="J119" s="8">
        <f t="shared" si="29"/>
        <v>884563.52939999988</v>
      </c>
      <c r="K119" s="8"/>
      <c r="L119" s="5">
        <v>0</v>
      </c>
      <c r="M119" s="8">
        <v>650000</v>
      </c>
      <c r="N119" s="8">
        <v>542191.35999999999</v>
      </c>
      <c r="O119" s="8"/>
      <c r="P119" s="8">
        <v>-12170.18</v>
      </c>
      <c r="Q119" s="8">
        <f t="shared" si="19"/>
        <v>59.918950124420533</v>
      </c>
      <c r="R119" s="8">
        <v>235000</v>
      </c>
      <c r="S119" s="8">
        <f t="shared" si="30"/>
        <v>436.47060000011697</v>
      </c>
    </row>
    <row r="120" spans="1:19" ht="18" customHeight="1">
      <c r="A120" s="5">
        <v>103</v>
      </c>
      <c r="B120" s="5">
        <v>5733</v>
      </c>
      <c r="C120" s="6" t="s">
        <v>393</v>
      </c>
      <c r="D120" s="5">
        <v>13127</v>
      </c>
      <c r="E120" s="7" t="s">
        <v>123</v>
      </c>
      <c r="F120" s="8">
        <v>553857.37</v>
      </c>
      <c r="G120" s="8">
        <v>382.51</v>
      </c>
      <c r="H120" s="8">
        <f t="shared" si="17"/>
        <v>664628.84400000004</v>
      </c>
      <c r="I120" s="8">
        <f t="shared" si="18"/>
        <v>897248.93940000003</v>
      </c>
      <c r="J120" s="8">
        <f t="shared" si="29"/>
        <v>897248.93940000003</v>
      </c>
      <c r="K120" s="8">
        <v>400000</v>
      </c>
      <c r="L120" s="5">
        <v>254223</v>
      </c>
      <c r="M120" s="8"/>
      <c r="N120" s="8">
        <v>0</v>
      </c>
      <c r="O120" s="8">
        <v>350000</v>
      </c>
      <c r="P120" s="8">
        <v>257531.49</v>
      </c>
      <c r="Q120" s="8">
        <f t="shared" si="19"/>
        <v>57.035953739016477</v>
      </c>
      <c r="R120" s="8">
        <v>150000</v>
      </c>
      <c r="S120" s="8">
        <f t="shared" si="30"/>
        <v>2751.060599999968</v>
      </c>
    </row>
    <row r="121" spans="1:19" ht="18" customHeight="1">
      <c r="A121" s="5">
        <v>104</v>
      </c>
      <c r="B121" s="5">
        <v>5919</v>
      </c>
      <c r="C121" s="6" t="s">
        <v>394</v>
      </c>
      <c r="D121" s="5">
        <v>13308</v>
      </c>
      <c r="E121" s="7" t="s">
        <v>124</v>
      </c>
      <c r="F121" s="8">
        <v>545467.6</v>
      </c>
      <c r="G121" s="8">
        <v>323.5</v>
      </c>
      <c r="H121" s="8">
        <f t="shared" si="17"/>
        <v>654561.11999999988</v>
      </c>
      <c r="I121" s="8">
        <f t="shared" si="18"/>
        <v>883657.51199999987</v>
      </c>
      <c r="J121" s="8">
        <f t="shared" si="29"/>
        <v>883657.51199999987</v>
      </c>
      <c r="K121" s="8"/>
      <c r="L121" s="5">
        <v>0</v>
      </c>
      <c r="M121" s="8">
        <v>850000</v>
      </c>
      <c r="N121" s="8">
        <v>598439.59</v>
      </c>
      <c r="O121" s="8"/>
      <c r="P121" s="8">
        <v>-5826.86</v>
      </c>
      <c r="Q121" s="8">
        <f t="shared" si="19"/>
        <v>67.063621590080487</v>
      </c>
      <c r="R121" s="8">
        <v>35000</v>
      </c>
      <c r="S121" s="8">
        <f t="shared" si="30"/>
        <v>1342.4880000001285</v>
      </c>
    </row>
    <row r="122" spans="1:19" ht="18" customHeight="1">
      <c r="A122" s="10" t="s">
        <v>12</v>
      </c>
      <c r="B122" s="11"/>
      <c r="C122" s="12"/>
      <c r="D122" s="11" t="s">
        <v>12</v>
      </c>
      <c r="E122" s="13" t="s">
        <v>125</v>
      </c>
      <c r="F122" s="14">
        <f>SUM(F115:F121)</f>
        <v>4001373.89</v>
      </c>
      <c r="G122" s="14">
        <v>367.01</v>
      </c>
      <c r="H122" s="14">
        <f t="shared" si="17"/>
        <v>4801648.6680000005</v>
      </c>
      <c r="I122" s="14">
        <f t="shared" si="18"/>
        <v>6482225.7018000009</v>
      </c>
      <c r="J122" s="14">
        <f>SUM(J115:J121)</f>
        <v>6482225.7017999999</v>
      </c>
      <c r="K122" s="14">
        <f t="shared" ref="K122:S122" si="31">SUM(K115:K121)</f>
        <v>900000</v>
      </c>
      <c r="L122" s="14">
        <f t="shared" si="31"/>
        <v>580522</v>
      </c>
      <c r="M122" s="14">
        <f t="shared" si="31"/>
        <v>3950000</v>
      </c>
      <c r="N122" s="14">
        <f t="shared" si="31"/>
        <v>2752229.1399999997</v>
      </c>
      <c r="O122" s="14">
        <f t="shared" si="31"/>
        <v>650000</v>
      </c>
      <c r="P122" s="14">
        <f t="shared" si="31"/>
        <v>408721.42000000004</v>
      </c>
      <c r="Q122" s="14">
        <f t="shared" si="19"/>
        <v>57.718949202294183</v>
      </c>
      <c r="R122" s="14">
        <f t="shared" si="31"/>
        <v>995000</v>
      </c>
      <c r="S122" s="14">
        <f t="shared" si="31"/>
        <v>12774.298199999845</v>
      </c>
    </row>
    <row r="123" spans="1:19" ht="18" customHeight="1">
      <c r="A123" s="5">
        <v>105</v>
      </c>
      <c r="B123" s="5">
        <v>3596</v>
      </c>
      <c r="C123" s="6" t="s">
        <v>395</v>
      </c>
      <c r="D123" s="5">
        <v>11134</v>
      </c>
      <c r="E123" s="7" t="s">
        <v>126</v>
      </c>
      <c r="F123" s="8">
        <v>387221.51</v>
      </c>
      <c r="G123" s="8">
        <v>339.85</v>
      </c>
      <c r="H123" s="8">
        <f t="shared" si="17"/>
        <v>464665.81199999998</v>
      </c>
      <c r="I123" s="8">
        <f t="shared" si="18"/>
        <v>627298.84620000003</v>
      </c>
      <c r="J123" s="8">
        <f t="shared" ref="J123:J126" si="32">+I123</f>
        <v>627298.84620000003</v>
      </c>
      <c r="K123" s="8">
        <v>70000</v>
      </c>
      <c r="L123" s="5">
        <v>5539</v>
      </c>
      <c r="M123" s="8">
        <v>400000</v>
      </c>
      <c r="N123" s="8">
        <v>213088.02</v>
      </c>
      <c r="O123" s="8">
        <v>90000</v>
      </c>
      <c r="P123" s="8">
        <v>87679.13</v>
      </c>
      <c r="Q123" s="8">
        <f t="shared" si="19"/>
        <v>48.829382017122548</v>
      </c>
      <c r="R123" s="8">
        <v>70000</v>
      </c>
      <c r="S123" s="8">
        <f t="shared" si="30"/>
        <v>2701.1537999999709</v>
      </c>
    </row>
    <row r="124" spans="1:19" ht="18" customHeight="1">
      <c r="A124" s="5">
        <v>106</v>
      </c>
      <c r="B124" s="5">
        <v>5679</v>
      </c>
      <c r="C124" s="6" t="s">
        <v>396</v>
      </c>
      <c r="D124" s="5">
        <v>11136</v>
      </c>
      <c r="E124" s="7" t="s">
        <v>127</v>
      </c>
      <c r="F124" s="8">
        <v>315171.18</v>
      </c>
      <c r="G124" s="8">
        <v>254.28</v>
      </c>
      <c r="H124" s="8">
        <f t="shared" si="17"/>
        <v>378205.41599999997</v>
      </c>
      <c r="I124" s="8">
        <f t="shared" si="18"/>
        <v>510577.31159999996</v>
      </c>
      <c r="J124" s="8">
        <f t="shared" si="32"/>
        <v>510577.31159999996</v>
      </c>
      <c r="K124" s="8">
        <v>0</v>
      </c>
      <c r="L124" s="5">
        <v>0</v>
      </c>
      <c r="M124" s="8">
        <v>420000</v>
      </c>
      <c r="N124" s="8">
        <v>288020.62</v>
      </c>
      <c r="O124" s="8">
        <v>0</v>
      </c>
      <c r="P124" s="8">
        <v>-14557.72</v>
      </c>
      <c r="Q124" s="8">
        <f t="shared" si="19"/>
        <v>53.559547944472364</v>
      </c>
      <c r="R124" s="8">
        <v>90000</v>
      </c>
      <c r="S124" s="8">
        <f t="shared" si="30"/>
        <v>-577.31159999995725</v>
      </c>
    </row>
    <row r="125" spans="1:19" ht="18" customHeight="1">
      <c r="A125" s="5">
        <v>107</v>
      </c>
      <c r="B125" s="5">
        <v>2256</v>
      </c>
      <c r="C125" s="6" t="s">
        <v>397</v>
      </c>
      <c r="D125" s="5">
        <v>11137</v>
      </c>
      <c r="E125" s="7" t="s">
        <v>128</v>
      </c>
      <c r="F125" s="8">
        <v>416853.26</v>
      </c>
      <c r="G125" s="8">
        <v>310.61</v>
      </c>
      <c r="H125" s="8">
        <f t="shared" si="17"/>
        <v>500223.91200000001</v>
      </c>
      <c r="I125" s="8">
        <f t="shared" si="18"/>
        <v>675302.28119999997</v>
      </c>
      <c r="J125" s="8">
        <f t="shared" si="32"/>
        <v>675302.28119999997</v>
      </c>
      <c r="K125" s="8">
        <v>0</v>
      </c>
      <c r="L125" s="5">
        <v>0</v>
      </c>
      <c r="M125" s="8">
        <v>600000</v>
      </c>
      <c r="N125" s="8">
        <v>351628.12</v>
      </c>
      <c r="O125" s="8">
        <v>0</v>
      </c>
      <c r="P125" s="8">
        <v>-3620.7</v>
      </c>
      <c r="Q125" s="8">
        <f t="shared" si="19"/>
        <v>51.533576842298991</v>
      </c>
      <c r="R125" s="8">
        <v>80000</v>
      </c>
      <c r="S125" s="8">
        <f t="shared" si="30"/>
        <v>4697.7188000000315</v>
      </c>
    </row>
    <row r="126" spans="1:19" ht="18" customHeight="1">
      <c r="A126" s="5">
        <v>108</v>
      </c>
      <c r="B126" s="5">
        <v>3610</v>
      </c>
      <c r="C126" s="6" t="s">
        <v>398</v>
      </c>
      <c r="D126" s="5">
        <v>12230</v>
      </c>
      <c r="E126" s="7" t="s">
        <v>129</v>
      </c>
      <c r="F126" s="8">
        <v>326512.04000000004</v>
      </c>
      <c r="G126" s="8">
        <v>321.81</v>
      </c>
      <c r="H126" s="8">
        <f t="shared" si="17"/>
        <v>391814.44800000009</v>
      </c>
      <c r="I126" s="8">
        <f t="shared" si="18"/>
        <v>528949.50480000011</v>
      </c>
      <c r="J126" s="8">
        <f t="shared" si="32"/>
        <v>528949.50480000011</v>
      </c>
      <c r="K126" s="8">
        <v>0</v>
      </c>
      <c r="L126" s="5">
        <v>0</v>
      </c>
      <c r="M126" s="8">
        <v>500000</v>
      </c>
      <c r="N126" s="8">
        <v>314960.39</v>
      </c>
      <c r="O126" s="8">
        <v>0</v>
      </c>
      <c r="P126" s="8">
        <v>-4329.08</v>
      </c>
      <c r="Q126" s="8">
        <f t="shared" si="19"/>
        <v>58.726080123177752</v>
      </c>
      <c r="R126" s="8">
        <v>30000</v>
      </c>
      <c r="S126" s="8">
        <f t="shared" si="30"/>
        <v>1050.4951999998884</v>
      </c>
    </row>
    <row r="127" spans="1:19" ht="18" customHeight="1">
      <c r="A127" s="5">
        <v>109</v>
      </c>
      <c r="B127" s="5">
        <v>5502</v>
      </c>
      <c r="C127" s="6" t="s">
        <v>347</v>
      </c>
      <c r="D127" s="5">
        <v>12602</v>
      </c>
      <c r="E127" s="7" t="s">
        <v>130</v>
      </c>
      <c r="F127" s="8">
        <v>280644.61</v>
      </c>
      <c r="G127" s="8">
        <v>207.53</v>
      </c>
      <c r="H127" s="8">
        <f t="shared" si="17"/>
        <v>336773.53200000001</v>
      </c>
      <c r="I127" s="8">
        <f t="shared" si="18"/>
        <v>454644.26819999999</v>
      </c>
      <c r="J127" s="5">
        <v>485457</v>
      </c>
      <c r="K127" s="5">
        <v>0</v>
      </c>
      <c r="L127" s="5">
        <v>0</v>
      </c>
      <c r="M127" s="5">
        <v>400000</v>
      </c>
      <c r="N127" s="8">
        <v>208465.84</v>
      </c>
      <c r="O127" s="5">
        <v>0</v>
      </c>
      <c r="P127" s="8">
        <v>-14682.4</v>
      </c>
      <c r="Q127" s="8">
        <f t="shared" si="19"/>
        <v>39.917735247406057</v>
      </c>
      <c r="R127" s="5">
        <v>85000</v>
      </c>
      <c r="S127" s="8">
        <f t="shared" si="30"/>
        <v>-457</v>
      </c>
    </row>
    <row r="128" spans="1:19" ht="18" customHeight="1">
      <c r="A128" s="5">
        <v>110</v>
      </c>
      <c r="B128" s="5">
        <v>7265</v>
      </c>
      <c r="C128" s="6" t="s">
        <v>399</v>
      </c>
      <c r="D128" s="5">
        <v>13176</v>
      </c>
      <c r="E128" s="7" t="s">
        <v>131</v>
      </c>
      <c r="F128" s="8">
        <v>349169.45999999996</v>
      </c>
      <c r="G128" s="8">
        <v>315.52999999999997</v>
      </c>
      <c r="H128" s="8">
        <f t="shared" si="17"/>
        <v>419003.35199999996</v>
      </c>
      <c r="I128" s="8">
        <f t="shared" si="18"/>
        <v>565654.52519999992</v>
      </c>
      <c r="J128" s="8">
        <f t="shared" ref="J128:J130" si="33">+I128</f>
        <v>565654.52519999992</v>
      </c>
      <c r="K128" s="8">
        <v>0</v>
      </c>
      <c r="L128" s="5">
        <v>0</v>
      </c>
      <c r="M128" s="8">
        <v>400000</v>
      </c>
      <c r="N128" s="8">
        <v>250546.76</v>
      </c>
      <c r="O128" s="8">
        <v>0</v>
      </c>
      <c r="P128" s="8">
        <v>-13350.82</v>
      </c>
      <c r="Q128" s="8">
        <f t="shared" si="19"/>
        <v>41.933004940804466</v>
      </c>
      <c r="R128" s="8">
        <v>170000</v>
      </c>
      <c r="S128" s="8">
        <f t="shared" si="30"/>
        <v>4345.4748000000836</v>
      </c>
    </row>
    <row r="129" spans="1:19" ht="18" customHeight="1">
      <c r="A129" s="5">
        <v>111</v>
      </c>
      <c r="B129" s="5">
        <v>5071</v>
      </c>
      <c r="C129" s="6" t="s">
        <v>400</v>
      </c>
      <c r="D129" s="5">
        <v>12909</v>
      </c>
      <c r="E129" s="7" t="s">
        <v>132</v>
      </c>
      <c r="F129" s="8">
        <v>470185.07999999996</v>
      </c>
      <c r="G129" s="8">
        <v>306.27999999999997</v>
      </c>
      <c r="H129" s="8">
        <f t="shared" si="17"/>
        <v>564222.0959999999</v>
      </c>
      <c r="I129" s="8">
        <f t="shared" si="18"/>
        <v>761699.82959999982</v>
      </c>
      <c r="J129" s="8">
        <f t="shared" si="33"/>
        <v>761699.82959999982</v>
      </c>
      <c r="K129" s="8">
        <v>350000</v>
      </c>
      <c r="L129" s="5">
        <v>177140</v>
      </c>
      <c r="M129" s="8">
        <v>0</v>
      </c>
      <c r="N129" s="8">
        <v>0</v>
      </c>
      <c r="O129" s="8">
        <v>415000</v>
      </c>
      <c r="P129" s="8">
        <v>270922.59000000003</v>
      </c>
      <c r="Q129" s="8">
        <f t="shared" si="19"/>
        <v>58.82403705345402</v>
      </c>
      <c r="R129" s="8">
        <v>0</v>
      </c>
      <c r="S129" s="8">
        <f t="shared" si="30"/>
        <v>3300.1704000001773</v>
      </c>
    </row>
    <row r="130" spans="1:19" ht="18" customHeight="1">
      <c r="A130" s="5">
        <v>112</v>
      </c>
      <c r="B130" s="5">
        <v>2985</v>
      </c>
      <c r="C130" s="6" t="s">
        <v>401</v>
      </c>
      <c r="D130" s="5">
        <v>14702</v>
      </c>
      <c r="E130" s="7" t="s">
        <v>133</v>
      </c>
      <c r="F130" s="8">
        <v>372427.76</v>
      </c>
      <c r="G130" s="8">
        <v>290.63</v>
      </c>
      <c r="H130" s="8">
        <f t="shared" si="17"/>
        <v>446913.31199999998</v>
      </c>
      <c r="I130" s="8">
        <f t="shared" si="18"/>
        <v>603332.97120000003</v>
      </c>
      <c r="J130" s="8">
        <f t="shared" si="33"/>
        <v>603332.97120000003</v>
      </c>
      <c r="K130" s="8">
        <v>0</v>
      </c>
      <c r="L130" s="5">
        <v>0</v>
      </c>
      <c r="M130" s="8">
        <v>450000</v>
      </c>
      <c r="N130" s="8">
        <v>340828.47</v>
      </c>
      <c r="O130" s="8">
        <v>0</v>
      </c>
      <c r="P130" s="8">
        <v>0</v>
      </c>
      <c r="Q130" s="8">
        <f t="shared" si="19"/>
        <v>56.490940536882754</v>
      </c>
      <c r="R130" s="8">
        <v>150000</v>
      </c>
      <c r="S130" s="8">
        <f t="shared" si="30"/>
        <v>-3332.9712000000291</v>
      </c>
    </row>
    <row r="131" spans="1:19" ht="18" customHeight="1">
      <c r="A131" s="10" t="s">
        <v>12</v>
      </c>
      <c r="B131" s="11"/>
      <c r="C131" s="12"/>
      <c r="D131" s="11" t="s">
        <v>12</v>
      </c>
      <c r="E131" s="13" t="s">
        <v>134</v>
      </c>
      <c r="F131" s="14">
        <f>SUM(F123:F130)</f>
        <v>2918184.9000000004</v>
      </c>
      <c r="G131" s="14">
        <v>291.61</v>
      </c>
      <c r="H131" s="14">
        <f t="shared" si="17"/>
        <v>3501821.8800000008</v>
      </c>
      <c r="I131" s="14">
        <f t="shared" si="18"/>
        <v>4727459.5380000006</v>
      </c>
      <c r="J131" s="14">
        <f>SUM(J123:J130)</f>
        <v>4758272.2697999999</v>
      </c>
      <c r="K131" s="14">
        <f t="shared" ref="K131:S131" si="34">SUM(K123:K130)</f>
        <v>420000</v>
      </c>
      <c r="L131" s="14">
        <f t="shared" si="34"/>
        <v>182679</v>
      </c>
      <c r="M131" s="14">
        <f t="shared" si="34"/>
        <v>3170000</v>
      </c>
      <c r="N131" s="14">
        <f t="shared" si="34"/>
        <v>1967538.22</v>
      </c>
      <c r="O131" s="14">
        <f t="shared" si="34"/>
        <v>505000</v>
      </c>
      <c r="P131" s="14">
        <f t="shared" si="34"/>
        <v>308061</v>
      </c>
      <c r="Q131" s="14">
        <f t="shared" si="19"/>
        <v>51.663252554972573</v>
      </c>
      <c r="R131" s="14">
        <f t="shared" si="34"/>
        <v>675000</v>
      </c>
      <c r="S131" s="14">
        <f t="shared" si="34"/>
        <v>11727.730200000165</v>
      </c>
    </row>
    <row r="132" spans="1:19" ht="18" customHeight="1">
      <c r="A132" s="5">
        <v>113</v>
      </c>
      <c r="B132" s="5">
        <v>5800</v>
      </c>
      <c r="C132" s="6" t="s">
        <v>402</v>
      </c>
      <c r="D132" s="5">
        <v>13636</v>
      </c>
      <c r="E132" s="7" t="s">
        <v>135</v>
      </c>
      <c r="F132" s="8">
        <v>531188.43000000005</v>
      </c>
      <c r="G132" s="8">
        <v>316.02</v>
      </c>
      <c r="H132" s="8">
        <f t="shared" ref="H132:H195" si="35">(F132/5)*6</f>
        <v>637426.11600000015</v>
      </c>
      <c r="I132" s="8">
        <f t="shared" ref="I132:I195" si="36">(H132*35%)+H132</f>
        <v>860525.2566000002</v>
      </c>
      <c r="J132" s="8">
        <f t="shared" ref="J132:J139" si="37">+I132</f>
        <v>860525.2566000002</v>
      </c>
      <c r="K132" s="8">
        <v>420000</v>
      </c>
      <c r="L132" s="5">
        <v>231582</v>
      </c>
      <c r="M132" s="8"/>
      <c r="N132" s="8">
        <v>7463.12</v>
      </c>
      <c r="O132" s="8">
        <v>450000</v>
      </c>
      <c r="P132" s="8">
        <v>265545.44</v>
      </c>
      <c r="Q132" s="8">
        <f t="shared" ref="Q132:Q195" si="38">(P132+N132+L132)/J132%</f>
        <v>58.637507281735701</v>
      </c>
      <c r="R132" s="8"/>
      <c r="S132" s="8">
        <f t="shared" si="30"/>
        <v>9474.7433999998029</v>
      </c>
    </row>
    <row r="133" spans="1:19" ht="18" customHeight="1">
      <c r="A133" s="5">
        <v>114</v>
      </c>
      <c r="B133" s="5">
        <v>6902</v>
      </c>
      <c r="C133" s="6" t="s">
        <v>403</v>
      </c>
      <c r="D133" s="5">
        <v>11132</v>
      </c>
      <c r="E133" s="7" t="s">
        <v>136</v>
      </c>
      <c r="F133" s="8">
        <v>551145.37</v>
      </c>
      <c r="G133" s="8">
        <v>363.11</v>
      </c>
      <c r="H133" s="8">
        <f t="shared" si="35"/>
        <v>661374.4439999999</v>
      </c>
      <c r="I133" s="8">
        <f t="shared" si="36"/>
        <v>892855.49939999986</v>
      </c>
      <c r="J133" s="8">
        <f t="shared" si="37"/>
        <v>892855.49939999986</v>
      </c>
      <c r="K133" s="8">
        <v>450000</v>
      </c>
      <c r="L133" s="5">
        <v>279989</v>
      </c>
      <c r="M133" s="8"/>
      <c r="N133" s="8">
        <v>0</v>
      </c>
      <c r="O133" s="8">
        <v>440000</v>
      </c>
      <c r="P133" s="8">
        <v>285499.34000000003</v>
      </c>
      <c r="Q133" s="8">
        <f t="shared" si="38"/>
        <v>63.334810658612625</v>
      </c>
      <c r="R133" s="8"/>
      <c r="S133" s="8">
        <f t="shared" si="30"/>
        <v>-2855.4993999998551</v>
      </c>
    </row>
    <row r="134" spans="1:19" ht="18" customHeight="1">
      <c r="A134" s="5">
        <v>115</v>
      </c>
      <c r="B134" s="5">
        <v>6957</v>
      </c>
      <c r="C134" s="6" t="s">
        <v>404</v>
      </c>
      <c r="D134" s="5">
        <v>11130</v>
      </c>
      <c r="E134" s="7" t="s">
        <v>137</v>
      </c>
      <c r="F134" s="8">
        <v>574007.19999999995</v>
      </c>
      <c r="G134" s="8">
        <v>422.35</v>
      </c>
      <c r="H134" s="8">
        <f t="shared" si="35"/>
        <v>688808.6399999999</v>
      </c>
      <c r="I134" s="8">
        <f t="shared" si="36"/>
        <v>929891.66399999987</v>
      </c>
      <c r="J134" s="8">
        <f t="shared" si="37"/>
        <v>929891.66399999987</v>
      </c>
      <c r="K134" s="8">
        <v>460000</v>
      </c>
      <c r="L134" s="5">
        <v>219080</v>
      </c>
      <c r="M134" s="8"/>
      <c r="N134" s="8">
        <v>0</v>
      </c>
      <c r="O134" s="8">
        <v>470000</v>
      </c>
      <c r="P134" s="8">
        <v>374608.73</v>
      </c>
      <c r="Q134" s="8">
        <f t="shared" si="38"/>
        <v>63.844935166555061</v>
      </c>
      <c r="R134" s="8"/>
      <c r="S134" s="8">
        <f t="shared" si="30"/>
        <v>108.33600000012666</v>
      </c>
    </row>
    <row r="135" spans="1:19" ht="18" customHeight="1">
      <c r="A135" s="5">
        <v>116</v>
      </c>
      <c r="B135" s="5">
        <v>4161</v>
      </c>
      <c r="C135" s="6" t="s">
        <v>405</v>
      </c>
      <c r="D135" s="5">
        <v>12550</v>
      </c>
      <c r="E135" s="7" t="s">
        <v>138</v>
      </c>
      <c r="F135" s="8">
        <v>607132.77</v>
      </c>
      <c r="G135" s="8">
        <v>427.92</v>
      </c>
      <c r="H135" s="8">
        <f t="shared" si="35"/>
        <v>728559.32400000002</v>
      </c>
      <c r="I135" s="8">
        <f t="shared" si="36"/>
        <v>983555.08740000008</v>
      </c>
      <c r="J135" s="8">
        <f t="shared" si="37"/>
        <v>983555.08740000008</v>
      </c>
      <c r="K135" s="8">
        <v>550000</v>
      </c>
      <c r="L135" s="5">
        <v>473836</v>
      </c>
      <c r="M135" s="8"/>
      <c r="N135" s="8">
        <v>0</v>
      </c>
      <c r="O135" s="8">
        <v>430000</v>
      </c>
      <c r="P135" s="8">
        <v>186590.47</v>
      </c>
      <c r="Q135" s="8">
        <f t="shared" si="38"/>
        <v>67.146871432063719</v>
      </c>
      <c r="R135" s="8"/>
      <c r="S135" s="8">
        <f t="shared" si="30"/>
        <v>-3555.0874000000767</v>
      </c>
    </row>
    <row r="136" spans="1:19" ht="18" customHeight="1">
      <c r="A136" s="5">
        <v>117</v>
      </c>
      <c r="B136" s="5">
        <v>6135</v>
      </c>
      <c r="C136" s="6" t="s">
        <v>406</v>
      </c>
      <c r="D136" s="5">
        <v>13027</v>
      </c>
      <c r="E136" s="7" t="s">
        <v>139</v>
      </c>
      <c r="F136" s="8">
        <v>544439.28</v>
      </c>
      <c r="G136" s="8">
        <v>358.57</v>
      </c>
      <c r="H136" s="8">
        <f t="shared" si="35"/>
        <v>653327.13599999994</v>
      </c>
      <c r="I136" s="8">
        <f t="shared" si="36"/>
        <v>881991.63359999994</v>
      </c>
      <c r="J136" s="8">
        <f t="shared" si="37"/>
        <v>881991.63359999994</v>
      </c>
      <c r="K136" s="8">
        <v>460000</v>
      </c>
      <c r="L136" s="5">
        <v>368798</v>
      </c>
      <c r="M136" s="8"/>
      <c r="N136" s="8">
        <v>0</v>
      </c>
      <c r="O136" s="8">
        <v>420000</v>
      </c>
      <c r="P136" s="8">
        <v>230127.41</v>
      </c>
      <c r="Q136" s="8">
        <f t="shared" si="38"/>
        <v>67.906019420545221</v>
      </c>
      <c r="R136" s="8"/>
      <c r="S136" s="8">
        <f t="shared" si="30"/>
        <v>-1991.6335999999428</v>
      </c>
    </row>
    <row r="137" spans="1:19" ht="18" customHeight="1">
      <c r="A137" s="5">
        <v>118</v>
      </c>
      <c r="B137" s="5">
        <v>2883</v>
      </c>
      <c r="C137" s="6" t="s">
        <v>407</v>
      </c>
      <c r="D137" s="5">
        <v>11133</v>
      </c>
      <c r="E137" s="7" t="s">
        <v>140</v>
      </c>
      <c r="F137" s="8">
        <v>451398.86</v>
      </c>
      <c r="G137" s="8">
        <v>261.37</v>
      </c>
      <c r="H137" s="8">
        <f t="shared" si="35"/>
        <v>541678.63199999998</v>
      </c>
      <c r="I137" s="8">
        <f t="shared" si="36"/>
        <v>731266.15319999994</v>
      </c>
      <c r="J137" s="8">
        <f t="shared" si="37"/>
        <v>731266.15319999994</v>
      </c>
      <c r="K137" s="8">
        <v>380000</v>
      </c>
      <c r="L137" s="5">
        <v>181912</v>
      </c>
      <c r="M137" s="8"/>
      <c r="N137" s="8">
        <v>0</v>
      </c>
      <c r="O137" s="8">
        <v>350000</v>
      </c>
      <c r="P137" s="8">
        <v>181193.87</v>
      </c>
      <c r="Q137" s="8">
        <f t="shared" si="38"/>
        <v>49.654406731538032</v>
      </c>
      <c r="R137" s="8"/>
      <c r="S137" s="8">
        <f t="shared" si="30"/>
        <v>-1266.1531999999424</v>
      </c>
    </row>
    <row r="138" spans="1:19" ht="18" customHeight="1">
      <c r="A138" s="5">
        <v>119</v>
      </c>
      <c r="B138" s="5">
        <v>3609</v>
      </c>
      <c r="C138" s="6" t="s">
        <v>408</v>
      </c>
      <c r="D138" s="5">
        <v>12229</v>
      </c>
      <c r="E138" s="7" t="s">
        <v>141</v>
      </c>
      <c r="F138" s="8">
        <v>438530.70999999996</v>
      </c>
      <c r="G138" s="8">
        <v>220.21</v>
      </c>
      <c r="H138" s="8">
        <f t="shared" si="35"/>
        <v>526236.85199999996</v>
      </c>
      <c r="I138" s="8">
        <f t="shared" si="36"/>
        <v>710419.75019999989</v>
      </c>
      <c r="J138" s="8">
        <f t="shared" si="37"/>
        <v>710419.75019999989</v>
      </c>
      <c r="K138" s="8">
        <v>340000</v>
      </c>
      <c r="L138" s="5">
        <v>283410</v>
      </c>
      <c r="M138" s="8"/>
      <c r="N138" s="8">
        <v>0</v>
      </c>
      <c r="O138" s="8">
        <v>370000</v>
      </c>
      <c r="P138" s="8">
        <v>173173.26</v>
      </c>
      <c r="Q138" s="8">
        <f t="shared" si="38"/>
        <v>64.269505439771493</v>
      </c>
      <c r="R138" s="8"/>
      <c r="S138" s="8">
        <f t="shared" si="30"/>
        <v>-419.75019999989308</v>
      </c>
    </row>
    <row r="139" spans="1:19" ht="18" customHeight="1">
      <c r="A139" s="5">
        <v>120</v>
      </c>
      <c r="B139" s="5">
        <v>7695</v>
      </c>
      <c r="C139" s="6" t="s">
        <v>409</v>
      </c>
      <c r="D139" s="5">
        <v>14547</v>
      </c>
      <c r="E139" s="7" t="s">
        <v>142</v>
      </c>
      <c r="F139" s="8">
        <v>450167.31999999995</v>
      </c>
      <c r="G139" s="8">
        <v>364.02</v>
      </c>
      <c r="H139" s="8">
        <f t="shared" si="35"/>
        <v>540200.78399999999</v>
      </c>
      <c r="I139" s="8">
        <f t="shared" si="36"/>
        <v>729271.05839999998</v>
      </c>
      <c r="J139" s="8">
        <f t="shared" si="37"/>
        <v>729271.05839999998</v>
      </c>
      <c r="K139" s="8">
        <v>370000</v>
      </c>
      <c r="L139" s="5">
        <v>171711</v>
      </c>
      <c r="M139" s="8"/>
      <c r="N139" s="8">
        <v>0</v>
      </c>
      <c r="O139" s="8">
        <v>360000</v>
      </c>
      <c r="P139" s="8">
        <v>397769.07</v>
      </c>
      <c r="Q139" s="8">
        <f t="shared" si="38"/>
        <v>78.088944219097797</v>
      </c>
      <c r="R139" s="8"/>
      <c r="S139" s="8">
        <f t="shared" si="30"/>
        <v>728.94160000002012</v>
      </c>
    </row>
    <row r="140" spans="1:19" ht="18" customHeight="1">
      <c r="A140" s="10" t="s">
        <v>12</v>
      </c>
      <c r="B140" s="11"/>
      <c r="C140" s="12"/>
      <c r="D140" s="11" t="s">
        <v>12</v>
      </c>
      <c r="E140" s="13" t="s">
        <v>143</v>
      </c>
      <c r="F140" s="14">
        <f>SUM(F132:F139)</f>
        <v>4148009.9399999995</v>
      </c>
      <c r="G140" s="14">
        <v>333.12</v>
      </c>
      <c r="H140" s="14">
        <f t="shared" si="35"/>
        <v>4977611.9279999994</v>
      </c>
      <c r="I140" s="14">
        <f t="shared" si="36"/>
        <v>6719776.1027999986</v>
      </c>
      <c r="J140" s="14">
        <f>SUM(J132:J139)</f>
        <v>6719776.1027999986</v>
      </c>
      <c r="K140" s="14">
        <f t="shared" ref="K140:S140" si="39">SUM(K132:K139)</f>
        <v>3430000</v>
      </c>
      <c r="L140" s="14">
        <f t="shared" si="39"/>
        <v>2210318</v>
      </c>
      <c r="M140" s="14">
        <f t="shared" si="39"/>
        <v>0</v>
      </c>
      <c r="N140" s="14">
        <f t="shared" si="39"/>
        <v>7463.12</v>
      </c>
      <c r="O140" s="14">
        <f t="shared" si="39"/>
        <v>3290000</v>
      </c>
      <c r="P140" s="14">
        <f t="shared" si="39"/>
        <v>2094507.5899999999</v>
      </c>
      <c r="Q140" s="14">
        <f t="shared" si="38"/>
        <v>64.173101068101872</v>
      </c>
      <c r="R140" s="14">
        <f t="shared" si="39"/>
        <v>0</v>
      </c>
      <c r="S140" s="14">
        <f t="shared" si="39"/>
        <v>223.89720000023954</v>
      </c>
    </row>
    <row r="141" spans="1:19" ht="18" customHeight="1">
      <c r="A141" s="5">
        <v>121</v>
      </c>
      <c r="B141" s="5">
        <v>1853</v>
      </c>
      <c r="C141" s="6" t="s">
        <v>410</v>
      </c>
      <c r="D141" s="5">
        <v>11062</v>
      </c>
      <c r="E141" s="7" t="s">
        <v>144</v>
      </c>
      <c r="F141" s="8">
        <v>376161.45</v>
      </c>
      <c r="G141" s="8">
        <v>241.71</v>
      </c>
      <c r="H141" s="8">
        <f t="shared" si="35"/>
        <v>451393.74000000005</v>
      </c>
      <c r="I141" s="8">
        <f t="shared" si="36"/>
        <v>609381.54900000012</v>
      </c>
      <c r="J141" s="8">
        <f t="shared" ref="J141:J142" si="40">+I141</f>
        <v>609381.54900000012</v>
      </c>
      <c r="K141" s="8">
        <v>280000</v>
      </c>
      <c r="L141" s="5">
        <v>150638</v>
      </c>
      <c r="M141" s="8"/>
      <c r="N141" s="8">
        <v>0</v>
      </c>
      <c r="O141" s="8">
        <v>330000</v>
      </c>
      <c r="P141" s="8">
        <v>222079.62</v>
      </c>
      <c r="Q141" s="8">
        <f t="shared" si="38"/>
        <v>61.163259801947163</v>
      </c>
      <c r="R141" s="8"/>
      <c r="S141" s="8">
        <f t="shared" si="30"/>
        <v>618.45099999988452</v>
      </c>
    </row>
    <row r="142" spans="1:19" ht="18" customHeight="1">
      <c r="A142" s="5">
        <v>122</v>
      </c>
      <c r="B142" s="5">
        <v>1408</v>
      </c>
      <c r="C142" s="6" t="s">
        <v>411</v>
      </c>
      <c r="D142" s="5">
        <v>11063</v>
      </c>
      <c r="E142" s="7" t="s">
        <v>145</v>
      </c>
      <c r="F142" s="8">
        <v>408826.39</v>
      </c>
      <c r="G142" s="8">
        <v>265.91000000000003</v>
      </c>
      <c r="H142" s="8">
        <f t="shared" si="35"/>
        <v>490591.66800000006</v>
      </c>
      <c r="I142" s="8">
        <f t="shared" si="36"/>
        <v>662298.75180000009</v>
      </c>
      <c r="J142" s="8">
        <f t="shared" si="40"/>
        <v>662298.75180000009</v>
      </c>
      <c r="K142" s="8"/>
      <c r="L142" s="5">
        <v>0</v>
      </c>
      <c r="M142" s="8">
        <v>315000</v>
      </c>
      <c r="N142" s="8">
        <v>193896.5</v>
      </c>
      <c r="O142" s="8"/>
      <c r="P142" s="8">
        <v>0</v>
      </c>
      <c r="Q142" s="8">
        <f t="shared" si="38"/>
        <v>29.276289510289242</v>
      </c>
      <c r="R142" s="8">
        <v>350000</v>
      </c>
      <c r="S142" s="8">
        <f t="shared" si="30"/>
        <v>2701.2481999999145</v>
      </c>
    </row>
    <row r="143" spans="1:19" ht="18" customHeight="1">
      <c r="A143" s="5">
        <v>123</v>
      </c>
      <c r="B143" s="5">
        <v>3605</v>
      </c>
      <c r="C143" s="6" t="s">
        <v>412</v>
      </c>
      <c r="D143" s="5">
        <v>12681</v>
      </c>
      <c r="E143" s="7" t="s">
        <v>146</v>
      </c>
      <c r="F143" s="8">
        <v>277088.94</v>
      </c>
      <c r="G143" s="8">
        <v>189.94</v>
      </c>
      <c r="H143" s="8">
        <f t="shared" si="35"/>
        <v>332506.728</v>
      </c>
      <c r="I143" s="8">
        <f t="shared" si="36"/>
        <v>448884.08279999997</v>
      </c>
      <c r="J143" s="5">
        <v>519592</v>
      </c>
      <c r="K143" s="5">
        <v>300000</v>
      </c>
      <c r="L143" s="5">
        <v>175361</v>
      </c>
      <c r="M143" s="5"/>
      <c r="N143" s="8">
        <v>0</v>
      </c>
      <c r="O143" s="5">
        <v>220000</v>
      </c>
      <c r="P143" s="8">
        <v>149936.1</v>
      </c>
      <c r="Q143" s="8">
        <f t="shared" si="38"/>
        <v>62.606256447366391</v>
      </c>
      <c r="R143" s="5"/>
      <c r="S143" s="8">
        <f t="shared" si="30"/>
        <v>408</v>
      </c>
    </row>
    <row r="144" spans="1:19" ht="18" customHeight="1">
      <c r="A144" s="5">
        <v>124</v>
      </c>
      <c r="B144" s="5">
        <v>6817</v>
      </c>
      <c r="C144" s="6" t="s">
        <v>413</v>
      </c>
      <c r="D144" s="5">
        <v>11131</v>
      </c>
      <c r="E144" s="7" t="s">
        <v>147</v>
      </c>
      <c r="F144" s="8">
        <v>398317.94000000006</v>
      </c>
      <c r="G144" s="8">
        <v>285.77999999999997</v>
      </c>
      <c r="H144" s="8">
        <f t="shared" si="35"/>
        <v>477981.52800000011</v>
      </c>
      <c r="I144" s="8">
        <f t="shared" si="36"/>
        <v>645275.06280000019</v>
      </c>
      <c r="J144" s="8">
        <f t="shared" ref="J144:J148" si="41">+I144</f>
        <v>645275.06280000019</v>
      </c>
      <c r="K144" s="8">
        <v>400000</v>
      </c>
      <c r="L144" s="5">
        <v>200339</v>
      </c>
      <c r="M144" s="8"/>
      <c r="N144" s="8">
        <v>0</v>
      </c>
      <c r="O144" s="8">
        <v>246000</v>
      </c>
      <c r="P144" s="8">
        <v>169787.58</v>
      </c>
      <c r="Q144" s="8">
        <f t="shared" si="38"/>
        <v>57.359504703921722</v>
      </c>
      <c r="R144" s="8"/>
      <c r="S144" s="8">
        <f t="shared" si="30"/>
        <v>724.93719999981113</v>
      </c>
    </row>
    <row r="145" spans="1:19" ht="18" customHeight="1">
      <c r="A145" s="5">
        <v>125</v>
      </c>
      <c r="B145" s="5">
        <v>3082</v>
      </c>
      <c r="C145" s="6" t="s">
        <v>414</v>
      </c>
      <c r="D145" s="5">
        <v>11128</v>
      </c>
      <c r="E145" s="7" t="s">
        <v>148</v>
      </c>
      <c r="F145" s="8">
        <v>385758.29</v>
      </c>
      <c r="G145" s="8">
        <v>246.1</v>
      </c>
      <c r="H145" s="8">
        <f t="shared" si="35"/>
        <v>462909.94799999997</v>
      </c>
      <c r="I145" s="8">
        <f t="shared" si="36"/>
        <v>624928.42979999993</v>
      </c>
      <c r="J145" s="8">
        <f t="shared" si="41"/>
        <v>624928.42979999993</v>
      </c>
      <c r="K145" s="8">
        <v>400000</v>
      </c>
      <c r="L145" s="5">
        <v>192905</v>
      </c>
      <c r="M145" s="8"/>
      <c r="N145" s="8">
        <v>0</v>
      </c>
      <c r="O145" s="8">
        <v>225000</v>
      </c>
      <c r="P145" s="8">
        <v>206493.58</v>
      </c>
      <c r="Q145" s="8">
        <f t="shared" si="38"/>
        <v>63.911091407350789</v>
      </c>
      <c r="R145" s="8"/>
      <c r="S145" s="8">
        <f t="shared" si="30"/>
        <v>71.570200000074692</v>
      </c>
    </row>
    <row r="146" spans="1:19" ht="18" customHeight="1">
      <c r="A146" s="5">
        <v>126</v>
      </c>
      <c r="B146" s="5">
        <v>1393</v>
      </c>
      <c r="C146" s="6" t="s">
        <v>415</v>
      </c>
      <c r="D146" s="5">
        <v>11129</v>
      </c>
      <c r="E146" s="7" t="s">
        <v>149</v>
      </c>
      <c r="F146" s="8">
        <v>521261.42000000004</v>
      </c>
      <c r="G146" s="8">
        <v>345.58</v>
      </c>
      <c r="H146" s="8">
        <f t="shared" si="35"/>
        <v>625513.70400000014</v>
      </c>
      <c r="I146" s="8">
        <f t="shared" si="36"/>
        <v>844443.50040000025</v>
      </c>
      <c r="J146" s="8">
        <f t="shared" si="41"/>
        <v>844443.50040000025</v>
      </c>
      <c r="K146" s="8">
        <v>400000</v>
      </c>
      <c r="L146" s="5">
        <v>210602</v>
      </c>
      <c r="M146" s="8"/>
      <c r="N146" s="8">
        <v>-3088.46</v>
      </c>
      <c r="O146" s="8">
        <v>445000</v>
      </c>
      <c r="P146" s="8">
        <v>292888.76</v>
      </c>
      <c r="Q146" s="8">
        <f t="shared" si="38"/>
        <v>59.258233352849174</v>
      </c>
      <c r="R146" s="8"/>
      <c r="S146" s="8">
        <f t="shared" si="30"/>
        <v>556.49959999974817</v>
      </c>
    </row>
    <row r="147" spans="1:19" ht="18" customHeight="1">
      <c r="A147" s="5">
        <v>127</v>
      </c>
      <c r="B147" s="5">
        <v>690</v>
      </c>
      <c r="C147" s="6" t="s">
        <v>416</v>
      </c>
      <c r="D147" s="5">
        <v>11064</v>
      </c>
      <c r="E147" s="7" t="s">
        <v>150</v>
      </c>
      <c r="F147" s="8">
        <v>382720.6</v>
      </c>
      <c r="G147" s="8">
        <v>276.07</v>
      </c>
      <c r="H147" s="8">
        <f t="shared" si="35"/>
        <v>459264.72</v>
      </c>
      <c r="I147" s="8">
        <f t="shared" si="36"/>
        <v>620007.37199999997</v>
      </c>
      <c r="J147" s="8">
        <f t="shared" si="41"/>
        <v>620007.37199999997</v>
      </c>
      <c r="K147" s="8">
        <v>150000</v>
      </c>
      <c r="L147" s="5">
        <v>37435</v>
      </c>
      <c r="M147" s="8">
        <v>200000</v>
      </c>
      <c r="N147" s="8">
        <v>88657.29</v>
      </c>
      <c r="O147" s="8">
        <v>150000</v>
      </c>
      <c r="P147" s="8">
        <v>102906.95</v>
      </c>
      <c r="Q147" s="8">
        <f t="shared" si="38"/>
        <v>36.934922122184062</v>
      </c>
      <c r="R147" s="8">
        <v>121000</v>
      </c>
      <c r="S147" s="8">
        <f t="shared" si="30"/>
        <v>992.62800000002608</v>
      </c>
    </row>
    <row r="148" spans="1:19" ht="18" customHeight="1">
      <c r="A148" s="5">
        <v>128</v>
      </c>
      <c r="B148" s="5">
        <v>7565</v>
      </c>
      <c r="C148" s="6" t="s">
        <v>417</v>
      </c>
      <c r="D148" s="5">
        <v>14536</v>
      </c>
      <c r="E148" s="7" t="s">
        <v>151</v>
      </c>
      <c r="F148" s="8">
        <v>356624.88</v>
      </c>
      <c r="G148" s="8">
        <v>271.45</v>
      </c>
      <c r="H148" s="8">
        <f t="shared" si="35"/>
        <v>427949.85599999997</v>
      </c>
      <c r="I148" s="8">
        <f t="shared" si="36"/>
        <v>577732.30559999996</v>
      </c>
      <c r="J148" s="8">
        <f t="shared" si="41"/>
        <v>577732.30559999996</v>
      </c>
      <c r="K148" s="8">
        <v>120000</v>
      </c>
      <c r="L148" s="5">
        <v>38087</v>
      </c>
      <c r="M148" s="8">
        <v>200000</v>
      </c>
      <c r="N148" s="8">
        <v>46577.09</v>
      </c>
      <c r="O148" s="8">
        <v>150000</v>
      </c>
      <c r="P148" s="8">
        <v>142995.23000000001</v>
      </c>
      <c r="Q148" s="8">
        <f t="shared" si="38"/>
        <v>39.405675914828059</v>
      </c>
      <c r="R148" s="8">
        <v>108000</v>
      </c>
      <c r="S148" s="8">
        <f t="shared" si="30"/>
        <v>267.69440000003669</v>
      </c>
    </row>
    <row r="149" spans="1:19" ht="18" customHeight="1">
      <c r="A149" s="10" t="s">
        <v>12</v>
      </c>
      <c r="B149" s="11"/>
      <c r="C149" s="12"/>
      <c r="D149" s="11" t="s">
        <v>12</v>
      </c>
      <c r="E149" s="13" t="s">
        <v>152</v>
      </c>
      <c r="F149" s="14">
        <f>SUM(F141:F148)</f>
        <v>3106759.91</v>
      </c>
      <c r="G149" s="14">
        <v>265.49</v>
      </c>
      <c r="H149" s="14">
        <f t="shared" si="35"/>
        <v>3728111.8920000005</v>
      </c>
      <c r="I149" s="14">
        <f t="shared" si="36"/>
        <v>5032951.0542000011</v>
      </c>
      <c r="J149" s="14">
        <f>SUM(J141:J148)</f>
        <v>5103658.9714000011</v>
      </c>
      <c r="K149" s="14">
        <f t="shared" ref="K149:S149" si="42">SUM(K141:K148)</f>
        <v>2050000</v>
      </c>
      <c r="L149" s="14">
        <f t="shared" si="42"/>
        <v>1005367</v>
      </c>
      <c r="M149" s="14">
        <f t="shared" si="42"/>
        <v>715000</v>
      </c>
      <c r="N149" s="14">
        <f t="shared" si="42"/>
        <v>326042.42000000004</v>
      </c>
      <c r="O149" s="14">
        <f t="shared" si="42"/>
        <v>1766000</v>
      </c>
      <c r="P149" s="14">
        <f t="shared" si="42"/>
        <v>1287087.8199999998</v>
      </c>
      <c r="Q149" s="14">
        <f t="shared" si="38"/>
        <v>51.306273688614262</v>
      </c>
      <c r="R149" s="14">
        <f t="shared" si="42"/>
        <v>579000</v>
      </c>
      <c r="S149" s="14">
        <f t="shared" si="42"/>
        <v>6341.0285999994958</v>
      </c>
    </row>
    <row r="150" spans="1:19" ht="18" customHeight="1">
      <c r="A150" s="5">
        <v>129</v>
      </c>
      <c r="B150" s="5">
        <v>5455</v>
      </c>
      <c r="C150" s="6" t="s">
        <v>418</v>
      </c>
      <c r="D150" s="5">
        <v>12603</v>
      </c>
      <c r="E150" s="7" t="s">
        <v>153</v>
      </c>
      <c r="F150" s="8">
        <v>250934.62999999998</v>
      </c>
      <c r="G150" s="8">
        <v>214.94</v>
      </c>
      <c r="H150" s="8">
        <f t="shared" si="35"/>
        <v>301121.55599999998</v>
      </c>
      <c r="I150" s="8">
        <f t="shared" si="36"/>
        <v>406514.10060000001</v>
      </c>
      <c r="J150" s="8">
        <v>406514.10060000001</v>
      </c>
      <c r="K150" s="5">
        <v>60000</v>
      </c>
      <c r="L150" s="5">
        <v>29187</v>
      </c>
      <c r="M150" s="5">
        <v>90000</v>
      </c>
      <c r="N150" s="8">
        <v>53787.24</v>
      </c>
      <c r="O150" s="5">
        <v>200000</v>
      </c>
      <c r="P150" s="8">
        <v>137814.15</v>
      </c>
      <c r="Q150" s="8">
        <f t="shared" si="38"/>
        <v>54.312603098914494</v>
      </c>
      <c r="R150" s="5">
        <v>50000</v>
      </c>
      <c r="S150" s="8">
        <f t="shared" si="30"/>
        <v>-6514.1006000000052</v>
      </c>
    </row>
    <row r="151" spans="1:19" ht="18" customHeight="1">
      <c r="A151" s="5">
        <v>130</v>
      </c>
      <c r="B151" s="5">
        <v>1295</v>
      </c>
      <c r="C151" s="6" t="s">
        <v>419</v>
      </c>
      <c r="D151" s="5">
        <v>11118</v>
      </c>
      <c r="E151" s="7" t="s">
        <v>154</v>
      </c>
      <c r="F151" s="8">
        <v>152153.02000000002</v>
      </c>
      <c r="G151" s="8">
        <v>126.11</v>
      </c>
      <c r="H151" s="8">
        <f t="shared" si="35"/>
        <v>182583.62400000001</v>
      </c>
      <c r="I151" s="8">
        <f t="shared" si="36"/>
        <v>246487.89240000001</v>
      </c>
      <c r="J151" s="8">
        <v>429300</v>
      </c>
      <c r="K151" s="5">
        <v>30000</v>
      </c>
      <c r="L151" s="5">
        <v>5863</v>
      </c>
      <c r="M151" s="5">
        <v>200000</v>
      </c>
      <c r="N151" s="8">
        <v>9064.7900000000009</v>
      </c>
      <c r="O151" s="5">
        <v>100000</v>
      </c>
      <c r="P151" s="8">
        <v>64274.1</v>
      </c>
      <c r="Q151" s="8">
        <f t="shared" si="38"/>
        <v>18.449077568134172</v>
      </c>
      <c r="R151" s="5">
        <v>100000</v>
      </c>
      <c r="S151" s="8">
        <f t="shared" si="30"/>
        <v>700</v>
      </c>
    </row>
    <row r="152" spans="1:19" ht="18" customHeight="1">
      <c r="A152" s="5">
        <v>131</v>
      </c>
      <c r="B152" s="5">
        <v>5012</v>
      </c>
      <c r="C152" s="6" t="s">
        <v>420</v>
      </c>
      <c r="D152" s="5">
        <v>11108</v>
      </c>
      <c r="E152" s="7" t="s">
        <v>155</v>
      </c>
      <c r="F152" s="8">
        <v>354337.72000000003</v>
      </c>
      <c r="G152" s="8">
        <v>235.34</v>
      </c>
      <c r="H152" s="8">
        <f t="shared" si="35"/>
        <v>425205.26400000008</v>
      </c>
      <c r="I152" s="8">
        <f t="shared" si="36"/>
        <v>574027.10640000016</v>
      </c>
      <c r="J152" s="8">
        <f t="shared" ref="J152:J154" si="43">+I152</f>
        <v>574027.10640000016</v>
      </c>
      <c r="K152" s="8">
        <v>30000</v>
      </c>
      <c r="L152" s="5">
        <v>3514</v>
      </c>
      <c r="M152" s="8">
        <v>35000</v>
      </c>
      <c r="N152" s="8">
        <v>74680.84</v>
      </c>
      <c r="O152" s="8">
        <v>480000</v>
      </c>
      <c r="P152" s="8">
        <v>32292.39</v>
      </c>
      <c r="Q152" s="8">
        <f t="shared" si="38"/>
        <v>19.247737392214546</v>
      </c>
      <c r="R152" s="8">
        <v>30000</v>
      </c>
      <c r="S152" s="8">
        <f t="shared" si="30"/>
        <v>972.89359999983571</v>
      </c>
    </row>
    <row r="153" spans="1:19" ht="18" customHeight="1">
      <c r="A153" s="5">
        <v>132</v>
      </c>
      <c r="B153" s="5">
        <v>1518</v>
      </c>
      <c r="C153" s="6" t="s">
        <v>421</v>
      </c>
      <c r="D153" s="5">
        <v>11109</v>
      </c>
      <c r="E153" s="7" t="s">
        <v>156</v>
      </c>
      <c r="F153" s="8">
        <v>450804.38</v>
      </c>
      <c r="G153" s="8">
        <v>293.11</v>
      </c>
      <c r="H153" s="8">
        <f t="shared" si="35"/>
        <v>540965.25600000005</v>
      </c>
      <c r="I153" s="8">
        <f t="shared" si="36"/>
        <v>730303.09560000012</v>
      </c>
      <c r="J153" s="8">
        <f t="shared" si="43"/>
        <v>730303.09560000012</v>
      </c>
      <c r="K153" s="8">
        <v>11000</v>
      </c>
      <c r="L153" s="5">
        <v>0</v>
      </c>
      <c r="M153" s="8">
        <v>20000</v>
      </c>
      <c r="N153" s="8">
        <v>72623.56</v>
      </c>
      <c r="O153" s="8">
        <v>600000</v>
      </c>
      <c r="P153" s="8">
        <v>205319.87</v>
      </c>
      <c r="Q153" s="8">
        <f t="shared" si="38"/>
        <v>38.058640539055652</v>
      </c>
      <c r="R153" s="8">
        <v>100000</v>
      </c>
      <c r="S153" s="8">
        <f t="shared" si="30"/>
        <v>696.90439999988303</v>
      </c>
    </row>
    <row r="154" spans="1:19" ht="18" customHeight="1">
      <c r="A154" s="5">
        <v>133</v>
      </c>
      <c r="B154" s="5">
        <v>1696</v>
      </c>
      <c r="C154" s="6" t="s">
        <v>422</v>
      </c>
      <c r="D154" s="5">
        <v>11114</v>
      </c>
      <c r="E154" s="7" t="s">
        <v>157</v>
      </c>
      <c r="F154" s="8">
        <v>319758.19</v>
      </c>
      <c r="G154" s="8">
        <v>272.13</v>
      </c>
      <c r="H154" s="8">
        <f t="shared" si="35"/>
        <v>383709.82799999998</v>
      </c>
      <c r="I154" s="8">
        <f t="shared" si="36"/>
        <v>518008.26779999997</v>
      </c>
      <c r="J154" s="8">
        <f t="shared" si="43"/>
        <v>518008.26779999997</v>
      </c>
      <c r="K154" s="8">
        <v>20000</v>
      </c>
      <c r="L154" s="5">
        <v>4022</v>
      </c>
      <c r="M154" s="8">
        <v>50000</v>
      </c>
      <c r="N154" s="8">
        <v>85769.76</v>
      </c>
      <c r="O154" s="8">
        <v>400000</v>
      </c>
      <c r="P154" s="8">
        <v>211116.41</v>
      </c>
      <c r="Q154" s="8">
        <f t="shared" si="38"/>
        <v>58.089453142894413</v>
      </c>
      <c r="R154" s="8">
        <v>50000</v>
      </c>
      <c r="S154" s="8">
        <f t="shared" si="30"/>
        <v>1991.7322000000277</v>
      </c>
    </row>
    <row r="155" spans="1:19" ht="18" customHeight="1">
      <c r="A155" s="5">
        <v>134</v>
      </c>
      <c r="B155" s="5">
        <v>7573</v>
      </c>
      <c r="C155" s="6" t="s">
        <v>423</v>
      </c>
      <c r="D155" s="5">
        <v>14534</v>
      </c>
      <c r="E155" s="7" t="s">
        <v>158</v>
      </c>
      <c r="F155" s="8">
        <v>230701.80000000002</v>
      </c>
      <c r="G155" s="8">
        <v>187.03</v>
      </c>
      <c r="H155" s="8">
        <f t="shared" si="35"/>
        <v>276842.16000000003</v>
      </c>
      <c r="I155" s="8">
        <f t="shared" si="36"/>
        <v>373736.91600000003</v>
      </c>
      <c r="J155" s="8">
        <v>430878.96539999987</v>
      </c>
      <c r="K155" s="5">
        <v>60000</v>
      </c>
      <c r="L155" s="5">
        <v>31873</v>
      </c>
      <c r="M155" s="5">
        <v>100000</v>
      </c>
      <c r="N155" s="8">
        <v>38026.43</v>
      </c>
      <c r="O155" s="5">
        <v>220000</v>
      </c>
      <c r="P155" s="8">
        <v>84859.43</v>
      </c>
      <c r="Q155" s="8">
        <f t="shared" si="38"/>
        <v>35.91701438856083</v>
      </c>
      <c r="R155" s="5">
        <v>50000</v>
      </c>
      <c r="S155" s="8">
        <f t="shared" si="30"/>
        <v>-878.96539999986999</v>
      </c>
    </row>
    <row r="156" spans="1:19" ht="18" customHeight="1">
      <c r="A156" s="5">
        <v>135</v>
      </c>
      <c r="B156" s="5">
        <v>6662</v>
      </c>
      <c r="C156" s="6" t="s">
        <v>424</v>
      </c>
      <c r="D156" s="5">
        <v>11119</v>
      </c>
      <c r="E156" s="7" t="s">
        <v>159</v>
      </c>
      <c r="F156" s="8">
        <v>365414</v>
      </c>
      <c r="G156" s="8">
        <v>322.17</v>
      </c>
      <c r="H156" s="8">
        <f t="shared" si="35"/>
        <v>438496.80000000005</v>
      </c>
      <c r="I156" s="8">
        <f t="shared" si="36"/>
        <v>591970.68000000005</v>
      </c>
      <c r="J156" s="8">
        <f>+I156</f>
        <v>591970.68000000005</v>
      </c>
      <c r="K156" s="8">
        <v>30000</v>
      </c>
      <c r="L156" s="5">
        <v>5602</v>
      </c>
      <c r="M156" s="8">
        <v>55000</v>
      </c>
      <c r="N156" s="8">
        <v>19428.830000000002</v>
      </c>
      <c r="O156" s="8">
        <v>450000</v>
      </c>
      <c r="P156" s="8">
        <v>247189.84</v>
      </c>
      <c r="Q156" s="8">
        <f t="shared" si="38"/>
        <v>45.985498808826129</v>
      </c>
      <c r="R156" s="8">
        <v>57000</v>
      </c>
      <c r="S156" s="8">
        <f t="shared" si="30"/>
        <v>29.319999999948777</v>
      </c>
    </row>
    <row r="157" spans="1:19" ht="18" customHeight="1">
      <c r="A157" s="10" t="s">
        <v>12</v>
      </c>
      <c r="B157" s="11"/>
      <c r="C157" s="12"/>
      <c r="D157" s="11" t="s">
        <v>12</v>
      </c>
      <c r="E157" s="13" t="s">
        <v>160</v>
      </c>
      <c r="F157" s="14">
        <f>SUM(F150:F156)</f>
        <v>2124103.7400000002</v>
      </c>
      <c r="G157" s="14">
        <v>237.03</v>
      </c>
      <c r="H157" s="14">
        <f t="shared" si="35"/>
        <v>2548924.4879999999</v>
      </c>
      <c r="I157" s="14">
        <f t="shared" si="36"/>
        <v>3441048.0587999998</v>
      </c>
      <c r="J157" s="14">
        <f>SUM(J150:J156)</f>
        <v>3681002.2157999999</v>
      </c>
      <c r="K157" s="14">
        <f t="shared" ref="K157:S157" si="44">SUM(K150:K156)</f>
        <v>241000</v>
      </c>
      <c r="L157" s="14">
        <f t="shared" si="44"/>
        <v>80061</v>
      </c>
      <c r="M157" s="14">
        <f t="shared" si="44"/>
        <v>550000</v>
      </c>
      <c r="N157" s="14">
        <f t="shared" si="44"/>
        <v>353381.45</v>
      </c>
      <c r="O157" s="14">
        <f t="shared" si="44"/>
        <v>2450000</v>
      </c>
      <c r="P157" s="14">
        <f t="shared" si="44"/>
        <v>982866.19000000006</v>
      </c>
      <c r="Q157" s="14">
        <f t="shared" si="38"/>
        <v>38.476169178077789</v>
      </c>
      <c r="R157" s="14">
        <f t="shared" si="44"/>
        <v>437000</v>
      </c>
      <c r="S157" s="14">
        <f t="shared" si="44"/>
        <v>-3002.21580000018</v>
      </c>
    </row>
    <row r="158" spans="1:19" ht="18" customHeight="1">
      <c r="A158" s="5">
        <v>136</v>
      </c>
      <c r="B158" s="5">
        <v>8746</v>
      </c>
      <c r="C158" s="6" t="s">
        <v>425</v>
      </c>
      <c r="D158" s="5">
        <v>13613</v>
      </c>
      <c r="E158" s="7" t="s">
        <v>161</v>
      </c>
      <c r="F158" s="8">
        <v>378103.42000000004</v>
      </c>
      <c r="G158" s="8">
        <v>273.36</v>
      </c>
      <c r="H158" s="8">
        <f t="shared" si="35"/>
        <v>453724.10400000005</v>
      </c>
      <c r="I158" s="8">
        <f t="shared" si="36"/>
        <v>612527.54040000006</v>
      </c>
      <c r="J158" s="8">
        <f t="shared" ref="J158:J165" si="45">+I158</f>
        <v>612527.54040000006</v>
      </c>
      <c r="K158" s="8">
        <v>35000</v>
      </c>
      <c r="L158" s="5">
        <v>-1179</v>
      </c>
      <c r="M158" s="8">
        <v>90000</v>
      </c>
      <c r="N158" s="8">
        <v>9223.4599999999991</v>
      </c>
      <c r="O158" s="8">
        <v>400000</v>
      </c>
      <c r="P158" s="8">
        <v>202159.13</v>
      </c>
      <c r="Q158" s="8">
        <f t="shared" si="38"/>
        <v>34.317410424146857</v>
      </c>
      <c r="R158" s="8">
        <v>90000</v>
      </c>
      <c r="S158" s="8">
        <f t="shared" si="30"/>
        <v>2472.4595999999437</v>
      </c>
    </row>
    <row r="159" spans="1:19" ht="18" customHeight="1">
      <c r="A159" s="5">
        <v>137</v>
      </c>
      <c r="B159" s="5">
        <v>6659</v>
      </c>
      <c r="C159" s="6" t="s">
        <v>426</v>
      </c>
      <c r="D159" s="5">
        <v>11115</v>
      </c>
      <c r="E159" s="7" t="s">
        <v>162</v>
      </c>
      <c r="F159" s="8">
        <v>969765.76</v>
      </c>
      <c r="G159" s="8">
        <v>667.81</v>
      </c>
      <c r="H159" s="8">
        <f t="shared" si="35"/>
        <v>1163718.912</v>
      </c>
      <c r="I159" s="8">
        <f t="shared" si="36"/>
        <v>1571020.5312000001</v>
      </c>
      <c r="J159" s="8">
        <f t="shared" si="45"/>
        <v>1571020.5312000001</v>
      </c>
      <c r="K159" s="8">
        <v>10000</v>
      </c>
      <c r="L159" s="5">
        <v>0</v>
      </c>
      <c r="M159" s="8">
        <v>20000</v>
      </c>
      <c r="N159" s="8">
        <v>5644.68</v>
      </c>
      <c r="O159" s="8">
        <v>242000</v>
      </c>
      <c r="P159" s="8">
        <v>120414.69</v>
      </c>
      <c r="Q159" s="8">
        <f t="shared" si="38"/>
        <v>8.0240434479689124</v>
      </c>
      <c r="R159" s="8">
        <v>1300000</v>
      </c>
      <c r="S159" s="8">
        <f t="shared" si="30"/>
        <v>979.46879999991506</v>
      </c>
    </row>
    <row r="160" spans="1:19" ht="18" customHeight="1">
      <c r="A160" s="5">
        <v>138</v>
      </c>
      <c r="B160" s="5">
        <v>3428</v>
      </c>
      <c r="C160" s="6" t="s">
        <v>427</v>
      </c>
      <c r="D160" s="5">
        <v>11120</v>
      </c>
      <c r="E160" s="7" t="s">
        <v>163</v>
      </c>
      <c r="F160" s="8">
        <v>369896.51</v>
      </c>
      <c r="G160" s="8">
        <v>255.08</v>
      </c>
      <c r="H160" s="8">
        <f t="shared" si="35"/>
        <v>443875.81199999998</v>
      </c>
      <c r="I160" s="8">
        <f t="shared" si="36"/>
        <v>599232.34620000003</v>
      </c>
      <c r="J160" s="8">
        <f t="shared" si="45"/>
        <v>599232.34620000003</v>
      </c>
      <c r="K160" s="8">
        <v>40000</v>
      </c>
      <c r="L160" s="5">
        <v>14276</v>
      </c>
      <c r="M160" s="8">
        <v>60000</v>
      </c>
      <c r="N160" s="8">
        <v>44216.480000000003</v>
      </c>
      <c r="O160" s="8">
        <v>450000</v>
      </c>
      <c r="P160" s="8">
        <v>281778.90999999997</v>
      </c>
      <c r="Q160" s="8">
        <f t="shared" si="38"/>
        <v>56.784549792382343</v>
      </c>
      <c r="R160" s="8">
        <v>50000</v>
      </c>
      <c r="S160" s="8">
        <f t="shared" si="30"/>
        <v>767.65379999997094</v>
      </c>
    </row>
    <row r="161" spans="1:19" ht="18" customHeight="1">
      <c r="A161" s="5">
        <v>139</v>
      </c>
      <c r="B161" s="5">
        <v>7570</v>
      </c>
      <c r="C161" s="6" t="s">
        <v>428</v>
      </c>
      <c r="D161" s="5">
        <v>12346</v>
      </c>
      <c r="E161" s="7" t="s">
        <v>164</v>
      </c>
      <c r="F161" s="8">
        <v>225864.84999999998</v>
      </c>
      <c r="G161" s="8">
        <v>178.42</v>
      </c>
      <c r="H161" s="8">
        <f t="shared" si="35"/>
        <v>271037.81999999995</v>
      </c>
      <c r="I161" s="8">
        <f t="shared" si="36"/>
        <v>365901.05699999991</v>
      </c>
      <c r="J161" s="8">
        <f t="shared" si="45"/>
        <v>365901.05699999991</v>
      </c>
      <c r="K161" s="5">
        <v>70000</v>
      </c>
      <c r="L161" s="5">
        <v>4693</v>
      </c>
      <c r="M161" s="5">
        <v>100000</v>
      </c>
      <c r="N161" s="8">
        <v>21584.81</v>
      </c>
      <c r="O161" s="5">
        <v>220000</v>
      </c>
      <c r="P161" s="8">
        <v>240802.02</v>
      </c>
      <c r="Q161" s="8">
        <f t="shared" si="38"/>
        <v>72.992363615937876</v>
      </c>
      <c r="R161" s="5">
        <v>63000</v>
      </c>
      <c r="S161" s="8">
        <f t="shared" si="30"/>
        <v>87098.943000000087</v>
      </c>
    </row>
    <row r="162" spans="1:19" ht="18" customHeight="1">
      <c r="A162" s="5">
        <v>140</v>
      </c>
      <c r="B162" s="5">
        <v>2300</v>
      </c>
      <c r="C162" s="6" t="s">
        <v>429</v>
      </c>
      <c r="D162" s="5">
        <v>11038</v>
      </c>
      <c r="E162" s="7" t="s">
        <v>165</v>
      </c>
      <c r="F162" s="8">
        <v>191410.18999999997</v>
      </c>
      <c r="G162" s="8">
        <v>136.59</v>
      </c>
      <c r="H162" s="8">
        <f t="shared" si="35"/>
        <v>229692.22799999994</v>
      </c>
      <c r="I162" s="8">
        <f t="shared" si="36"/>
        <v>310084.5077999999</v>
      </c>
      <c r="J162" s="8">
        <f t="shared" si="45"/>
        <v>310084.5077999999</v>
      </c>
      <c r="K162" s="5">
        <v>10000</v>
      </c>
      <c r="L162" s="5">
        <v>1177</v>
      </c>
      <c r="M162" s="5">
        <v>40000</v>
      </c>
      <c r="N162" s="8">
        <v>14677.85</v>
      </c>
      <c r="O162" s="5">
        <v>442000</v>
      </c>
      <c r="P162" s="8">
        <v>61727.89</v>
      </c>
      <c r="Q162" s="8">
        <f t="shared" si="38"/>
        <v>25.019869760807197</v>
      </c>
      <c r="R162" s="5">
        <v>10000</v>
      </c>
      <c r="S162" s="8">
        <f t="shared" si="30"/>
        <v>191915.4922000001</v>
      </c>
    </row>
    <row r="163" spans="1:19" ht="18" customHeight="1">
      <c r="A163" s="5">
        <v>141</v>
      </c>
      <c r="B163" s="5">
        <v>972</v>
      </c>
      <c r="C163" s="6" t="s">
        <v>430</v>
      </c>
      <c r="D163" s="5">
        <v>11111</v>
      </c>
      <c r="E163" s="7" t="s">
        <v>166</v>
      </c>
      <c r="F163" s="8">
        <v>467524.81000000006</v>
      </c>
      <c r="G163" s="8">
        <v>313.14999999999998</v>
      </c>
      <c r="H163" s="8">
        <f t="shared" si="35"/>
        <v>561029.77200000011</v>
      </c>
      <c r="I163" s="8">
        <f t="shared" si="36"/>
        <v>757390.19220000017</v>
      </c>
      <c r="J163" s="8">
        <f t="shared" si="45"/>
        <v>757390.19220000017</v>
      </c>
      <c r="K163" s="8">
        <v>50000</v>
      </c>
      <c r="L163" s="5">
        <v>10483</v>
      </c>
      <c r="M163" s="8">
        <v>400000</v>
      </c>
      <c r="N163" s="8">
        <v>11759.74</v>
      </c>
      <c r="O163" s="8">
        <v>230000</v>
      </c>
      <c r="P163" s="8">
        <v>252895.21</v>
      </c>
      <c r="Q163" s="8">
        <f t="shared" si="38"/>
        <v>36.327107590448669</v>
      </c>
      <c r="R163" s="8">
        <v>80000</v>
      </c>
      <c r="S163" s="8">
        <f t="shared" si="30"/>
        <v>2609.807799999835</v>
      </c>
    </row>
    <row r="164" spans="1:19" ht="18" customHeight="1">
      <c r="A164" s="5">
        <v>142</v>
      </c>
      <c r="B164" s="5">
        <v>745</v>
      </c>
      <c r="C164" s="6" t="s">
        <v>431</v>
      </c>
      <c r="D164" s="5">
        <v>11113</v>
      </c>
      <c r="E164" s="7" t="s">
        <v>167</v>
      </c>
      <c r="F164" s="8">
        <v>275319.03000000003</v>
      </c>
      <c r="G164" s="8">
        <v>189.86</v>
      </c>
      <c r="H164" s="8">
        <f t="shared" si="35"/>
        <v>330382.83600000001</v>
      </c>
      <c r="I164" s="8">
        <f t="shared" si="36"/>
        <v>446016.82860000001</v>
      </c>
      <c r="J164" s="8">
        <f t="shared" si="45"/>
        <v>446016.82860000001</v>
      </c>
      <c r="K164" s="5">
        <v>70000</v>
      </c>
      <c r="L164" s="5">
        <v>22108</v>
      </c>
      <c r="M164" s="5">
        <v>130000</v>
      </c>
      <c r="N164" s="8">
        <v>25200.2</v>
      </c>
      <c r="O164" s="5">
        <v>150000</v>
      </c>
      <c r="P164" s="8">
        <v>36963.68</v>
      </c>
      <c r="Q164" s="8">
        <f t="shared" si="38"/>
        <v>18.894327432559123</v>
      </c>
      <c r="R164" s="5">
        <v>160000</v>
      </c>
      <c r="S164" s="8">
        <f t="shared" si="30"/>
        <v>63983.171399999992</v>
      </c>
    </row>
    <row r="165" spans="1:19" ht="18" customHeight="1">
      <c r="A165" s="5">
        <v>143</v>
      </c>
      <c r="B165" s="5">
        <v>6134</v>
      </c>
      <c r="C165" s="6" t="s">
        <v>432</v>
      </c>
      <c r="D165" s="5">
        <v>11122</v>
      </c>
      <c r="E165" s="7" t="s">
        <v>168</v>
      </c>
      <c r="F165" s="8">
        <v>342410.94</v>
      </c>
      <c r="G165" s="8">
        <v>224.66</v>
      </c>
      <c r="H165" s="8">
        <f t="shared" si="35"/>
        <v>410893.12799999997</v>
      </c>
      <c r="I165" s="8">
        <f t="shared" si="36"/>
        <v>554705.72279999999</v>
      </c>
      <c r="J165" s="8">
        <f t="shared" si="45"/>
        <v>554705.72279999999</v>
      </c>
      <c r="K165" s="5">
        <v>150000</v>
      </c>
      <c r="L165" s="5">
        <v>73959</v>
      </c>
      <c r="M165" s="5">
        <v>100000</v>
      </c>
      <c r="N165" s="8">
        <v>74779.64</v>
      </c>
      <c r="O165" s="5">
        <v>200000</v>
      </c>
      <c r="P165" s="8">
        <v>135200.57999999999</v>
      </c>
      <c r="Q165" s="8">
        <f t="shared" si="38"/>
        <v>51.187360852661456</v>
      </c>
      <c r="R165" s="5">
        <v>105000</v>
      </c>
      <c r="S165" s="8">
        <f t="shared" si="30"/>
        <v>294.27720000001136</v>
      </c>
    </row>
    <row r="166" spans="1:19" ht="18" customHeight="1">
      <c r="A166" s="10" t="s">
        <v>12</v>
      </c>
      <c r="B166" s="11"/>
      <c r="C166" s="12"/>
      <c r="D166" s="11" t="s">
        <v>12</v>
      </c>
      <c r="E166" s="13" t="s">
        <v>169</v>
      </c>
      <c r="F166" s="14">
        <f>SUM(F158:F165)</f>
        <v>3220295.5100000002</v>
      </c>
      <c r="G166" s="14">
        <v>282.31</v>
      </c>
      <c r="H166" s="14">
        <f t="shared" si="35"/>
        <v>3864354.6120000007</v>
      </c>
      <c r="I166" s="14">
        <f t="shared" si="36"/>
        <v>5216878.7262000013</v>
      </c>
      <c r="J166" s="14">
        <f>SUM(J158:J165)</f>
        <v>5216878.7261999995</v>
      </c>
      <c r="K166" s="14">
        <f t="shared" ref="K166:S166" si="46">SUM(K158:K165)</f>
        <v>435000</v>
      </c>
      <c r="L166" s="14">
        <f t="shared" si="46"/>
        <v>125517</v>
      </c>
      <c r="M166" s="14">
        <f t="shared" si="46"/>
        <v>940000</v>
      </c>
      <c r="N166" s="14">
        <f t="shared" si="46"/>
        <v>207086.86000000004</v>
      </c>
      <c r="O166" s="14">
        <f t="shared" si="46"/>
        <v>2334000</v>
      </c>
      <c r="P166" s="14">
        <f t="shared" si="46"/>
        <v>1331942.1100000001</v>
      </c>
      <c r="Q166" s="14">
        <f t="shared" si="38"/>
        <v>31.906932427629265</v>
      </c>
      <c r="R166" s="14">
        <f t="shared" si="46"/>
        <v>1858000</v>
      </c>
      <c r="S166" s="14">
        <f t="shared" si="46"/>
        <v>350121.27379999985</v>
      </c>
    </row>
    <row r="167" spans="1:19" ht="18" customHeight="1">
      <c r="A167" s="5">
        <v>144</v>
      </c>
      <c r="B167" s="5">
        <v>5011</v>
      </c>
      <c r="C167" s="6" t="s">
        <v>433</v>
      </c>
      <c r="D167" s="5">
        <v>12582</v>
      </c>
      <c r="E167" s="7" t="s">
        <v>170</v>
      </c>
      <c r="F167" s="8">
        <v>843102.1100000001</v>
      </c>
      <c r="G167" s="8">
        <v>593.82000000000005</v>
      </c>
      <c r="H167" s="8">
        <f t="shared" si="35"/>
        <v>1011722.5320000001</v>
      </c>
      <c r="I167" s="8">
        <f t="shared" si="36"/>
        <v>1365825.4182000002</v>
      </c>
      <c r="J167" s="8">
        <f>+I167</f>
        <v>1365825.4182000002</v>
      </c>
      <c r="K167" s="8">
        <v>50000</v>
      </c>
      <c r="L167" s="5">
        <v>0</v>
      </c>
      <c r="M167" s="8">
        <v>50000</v>
      </c>
      <c r="N167" s="8">
        <v>1551.72</v>
      </c>
      <c r="O167" s="8">
        <v>1249000</v>
      </c>
      <c r="P167" s="8">
        <v>2631.18</v>
      </c>
      <c r="Q167" s="8">
        <f t="shared" si="38"/>
        <v>0.30625436781756321</v>
      </c>
      <c r="R167" s="8">
        <v>16825</v>
      </c>
      <c r="S167" s="8">
        <f t="shared" si="30"/>
        <v>-0.41820000018924475</v>
      </c>
    </row>
    <row r="168" spans="1:19" ht="18" customHeight="1">
      <c r="A168" s="5">
        <v>145</v>
      </c>
      <c r="B168" s="5">
        <v>7571</v>
      </c>
      <c r="C168" s="6" t="s">
        <v>434</v>
      </c>
      <c r="D168" s="5">
        <v>13635</v>
      </c>
      <c r="E168" s="7" t="s">
        <v>171</v>
      </c>
      <c r="F168" s="8">
        <v>201922.3</v>
      </c>
      <c r="G168" s="8">
        <v>147.06</v>
      </c>
      <c r="H168" s="8">
        <f t="shared" si="35"/>
        <v>242306.76</v>
      </c>
      <c r="I168" s="8">
        <f t="shared" si="36"/>
        <v>327114.12599999999</v>
      </c>
      <c r="J168" s="8">
        <v>435324.12599999999</v>
      </c>
      <c r="K168" s="5">
        <v>15000</v>
      </c>
      <c r="L168" s="5">
        <v>4339</v>
      </c>
      <c r="M168" s="5">
        <v>150000</v>
      </c>
      <c r="N168" s="8">
        <v>19814.849999999999</v>
      </c>
      <c r="O168" s="5">
        <v>250000</v>
      </c>
      <c r="P168" s="8">
        <v>206178.1</v>
      </c>
      <c r="Q168" s="8">
        <f t="shared" si="38"/>
        <v>52.910449075363218</v>
      </c>
      <c r="R168" s="5">
        <v>20500</v>
      </c>
      <c r="S168" s="8">
        <f t="shared" si="30"/>
        <v>175.87400000001071</v>
      </c>
    </row>
    <row r="169" spans="1:19" ht="18" customHeight="1">
      <c r="A169" s="5">
        <v>146</v>
      </c>
      <c r="B169" s="5">
        <v>1932</v>
      </c>
      <c r="C169" s="6" t="s">
        <v>435</v>
      </c>
      <c r="D169" s="5">
        <v>11033</v>
      </c>
      <c r="E169" s="7" t="s">
        <v>172</v>
      </c>
      <c r="F169" s="8">
        <v>320879.76</v>
      </c>
      <c r="G169" s="8">
        <v>233.85</v>
      </c>
      <c r="H169" s="8">
        <f t="shared" si="35"/>
        <v>385055.71200000006</v>
      </c>
      <c r="I169" s="8">
        <f t="shared" si="36"/>
        <v>519825.21120000008</v>
      </c>
      <c r="J169" s="8">
        <f t="shared" ref="J169:J172" si="47">+I169</f>
        <v>519825.21120000008</v>
      </c>
      <c r="K169" s="8">
        <v>20000</v>
      </c>
      <c r="L169" s="5">
        <v>15049</v>
      </c>
      <c r="M169" s="8">
        <v>20000</v>
      </c>
      <c r="N169" s="8">
        <v>62413.41</v>
      </c>
      <c r="O169" s="8">
        <v>450000</v>
      </c>
      <c r="P169" s="8">
        <v>321947.57</v>
      </c>
      <c r="Q169" s="8">
        <f t="shared" si="38"/>
        <v>76.835438411687392</v>
      </c>
      <c r="R169" s="8">
        <v>30000</v>
      </c>
      <c r="S169" s="8">
        <f t="shared" si="30"/>
        <v>174.78879999992205</v>
      </c>
    </row>
    <row r="170" spans="1:19" ht="18" customHeight="1">
      <c r="A170" s="5">
        <v>147</v>
      </c>
      <c r="B170" s="5">
        <v>4181</v>
      </c>
      <c r="C170" s="6" t="s">
        <v>436</v>
      </c>
      <c r="D170" s="5">
        <v>11006</v>
      </c>
      <c r="E170" s="7" t="s">
        <v>173</v>
      </c>
      <c r="F170" s="8">
        <v>377017.13</v>
      </c>
      <c r="G170" s="8">
        <v>254.7</v>
      </c>
      <c r="H170" s="8">
        <f t="shared" si="35"/>
        <v>452420.55600000004</v>
      </c>
      <c r="I170" s="8">
        <f t="shared" si="36"/>
        <v>610767.75060000003</v>
      </c>
      <c r="J170" s="8">
        <f t="shared" si="47"/>
        <v>610767.75060000003</v>
      </c>
      <c r="K170" s="8">
        <v>10000</v>
      </c>
      <c r="L170" s="5">
        <v>7026</v>
      </c>
      <c r="M170" s="8">
        <v>25000</v>
      </c>
      <c r="N170" s="8">
        <v>17465.599999999999</v>
      </c>
      <c r="O170" s="8">
        <v>500000</v>
      </c>
      <c r="P170" s="8">
        <v>219894.25</v>
      </c>
      <c r="Q170" s="8">
        <f t="shared" si="38"/>
        <v>40.012893568778416</v>
      </c>
      <c r="R170" s="8">
        <v>75800</v>
      </c>
      <c r="S170" s="8">
        <f t="shared" si="30"/>
        <v>32.249399999971502</v>
      </c>
    </row>
    <row r="171" spans="1:19" ht="18" customHeight="1">
      <c r="A171" s="5">
        <v>148</v>
      </c>
      <c r="B171" s="5">
        <v>7404</v>
      </c>
      <c r="C171" s="6" t="s">
        <v>437</v>
      </c>
      <c r="D171" s="5">
        <v>11007</v>
      </c>
      <c r="E171" s="7" t="s">
        <v>174</v>
      </c>
      <c r="F171" s="8">
        <v>435141.70999999996</v>
      </c>
      <c r="G171" s="8">
        <v>305.16000000000003</v>
      </c>
      <c r="H171" s="8">
        <f t="shared" si="35"/>
        <v>522170.05199999991</v>
      </c>
      <c r="I171" s="8">
        <f t="shared" si="36"/>
        <v>704929.57019999984</v>
      </c>
      <c r="J171" s="8">
        <f t="shared" si="47"/>
        <v>704929.57019999984</v>
      </c>
      <c r="K171" s="8">
        <v>15000</v>
      </c>
      <c r="L171" s="5">
        <v>6891</v>
      </c>
      <c r="M171" s="8">
        <v>35000</v>
      </c>
      <c r="N171" s="8">
        <v>11431.78</v>
      </c>
      <c r="O171" s="8">
        <v>620000</v>
      </c>
      <c r="P171" s="8">
        <v>202377.8</v>
      </c>
      <c r="Q171" s="8">
        <f t="shared" si="38"/>
        <v>31.308174508466667</v>
      </c>
      <c r="R171" s="8">
        <v>34950</v>
      </c>
      <c r="S171" s="8">
        <f t="shared" si="30"/>
        <v>20.429800000158139</v>
      </c>
    </row>
    <row r="172" spans="1:19" ht="18" customHeight="1">
      <c r="A172" s="5">
        <v>149</v>
      </c>
      <c r="B172" s="5">
        <v>6445</v>
      </c>
      <c r="C172" s="6" t="s">
        <v>438</v>
      </c>
      <c r="D172" s="5">
        <v>13261</v>
      </c>
      <c r="E172" s="7" t="s">
        <v>175</v>
      </c>
      <c r="F172" s="8">
        <v>413771.97</v>
      </c>
      <c r="G172" s="8">
        <v>293.8</v>
      </c>
      <c r="H172" s="8">
        <f t="shared" si="35"/>
        <v>496526.364</v>
      </c>
      <c r="I172" s="8">
        <f t="shared" si="36"/>
        <v>670310.59140000003</v>
      </c>
      <c r="J172" s="8">
        <f t="shared" si="47"/>
        <v>670310.59140000003</v>
      </c>
      <c r="K172" s="8">
        <v>5000</v>
      </c>
      <c r="L172" s="5">
        <v>8287</v>
      </c>
      <c r="M172" s="8">
        <v>25000</v>
      </c>
      <c r="N172" s="8">
        <v>11784.09</v>
      </c>
      <c r="O172" s="8">
        <v>630000</v>
      </c>
      <c r="P172" s="8">
        <v>188055.09</v>
      </c>
      <c r="Q172" s="8">
        <f t="shared" si="38"/>
        <v>31.049215493568578</v>
      </c>
      <c r="R172" s="8">
        <v>10400</v>
      </c>
      <c r="S172" s="8">
        <f t="shared" si="30"/>
        <v>89.4085999999661</v>
      </c>
    </row>
    <row r="173" spans="1:19" ht="18" customHeight="1">
      <c r="A173" s="5">
        <v>150</v>
      </c>
      <c r="B173" s="5">
        <v>3197</v>
      </c>
      <c r="C173" s="6" t="s">
        <v>414</v>
      </c>
      <c r="D173" s="5">
        <v>11036</v>
      </c>
      <c r="E173" s="7" t="s">
        <v>176</v>
      </c>
      <c r="F173" s="8">
        <v>252208.82</v>
      </c>
      <c r="G173" s="8">
        <v>158.44</v>
      </c>
      <c r="H173" s="8">
        <f t="shared" si="35"/>
        <v>302650.58400000003</v>
      </c>
      <c r="I173" s="8">
        <f t="shared" si="36"/>
        <v>408578.28840000002</v>
      </c>
      <c r="J173" s="5">
        <v>486578</v>
      </c>
      <c r="K173" s="5">
        <v>50000</v>
      </c>
      <c r="L173" s="5">
        <v>32219</v>
      </c>
      <c r="M173" s="5">
        <v>100000</v>
      </c>
      <c r="N173" s="8">
        <v>43772.54</v>
      </c>
      <c r="O173" s="5">
        <v>236600</v>
      </c>
      <c r="P173" s="8">
        <v>89854.27</v>
      </c>
      <c r="Q173" s="8">
        <f t="shared" si="38"/>
        <v>34.084116010177198</v>
      </c>
      <c r="R173" s="5">
        <v>100000</v>
      </c>
      <c r="S173" s="8">
        <f t="shared" si="30"/>
        <v>22</v>
      </c>
    </row>
    <row r="174" spans="1:19" ht="18" customHeight="1">
      <c r="A174" s="5">
        <v>151</v>
      </c>
      <c r="B174" s="5">
        <v>3038</v>
      </c>
      <c r="C174" s="6" t="s">
        <v>439</v>
      </c>
      <c r="D174" s="5">
        <v>12335</v>
      </c>
      <c r="E174" s="7" t="s">
        <v>177</v>
      </c>
      <c r="F174" s="8">
        <v>307175.75999999995</v>
      </c>
      <c r="G174" s="8">
        <v>230.88</v>
      </c>
      <c r="H174" s="8">
        <f t="shared" si="35"/>
        <v>368610.91199999989</v>
      </c>
      <c r="I174" s="8">
        <f t="shared" si="36"/>
        <v>497624.73119999986</v>
      </c>
      <c r="J174" s="8">
        <f>+I174</f>
        <v>497624.73119999986</v>
      </c>
      <c r="K174" s="8">
        <v>70000</v>
      </c>
      <c r="L174" s="5">
        <v>67763</v>
      </c>
      <c r="M174" s="8">
        <v>100000</v>
      </c>
      <c r="N174" s="8">
        <v>52451.27</v>
      </c>
      <c r="O174" s="8">
        <v>238000</v>
      </c>
      <c r="P174" s="8">
        <v>125050.44</v>
      </c>
      <c r="Q174" s="8">
        <f t="shared" si="38"/>
        <v>49.287082136885573</v>
      </c>
      <c r="R174" s="8">
        <v>89950</v>
      </c>
      <c r="S174" s="8">
        <f t="shared" si="30"/>
        <v>325.26880000013625</v>
      </c>
    </row>
    <row r="175" spans="1:19" ht="18" customHeight="1">
      <c r="A175" s="10" t="s">
        <v>12</v>
      </c>
      <c r="B175" s="11"/>
      <c r="C175" s="12"/>
      <c r="D175" s="11" t="s">
        <v>12</v>
      </c>
      <c r="E175" s="13" t="s">
        <v>178</v>
      </c>
      <c r="F175" s="14">
        <f>SUM(F167:F174)</f>
        <v>3151219.56</v>
      </c>
      <c r="G175" s="14">
        <v>277.69</v>
      </c>
      <c r="H175" s="14">
        <f t="shared" si="35"/>
        <v>3781463.4720000001</v>
      </c>
      <c r="I175" s="14">
        <f t="shared" si="36"/>
        <v>5104975.6872000005</v>
      </c>
      <c r="J175" s="14">
        <f>SUM(J167:J174)</f>
        <v>5291185.3988000005</v>
      </c>
      <c r="K175" s="14">
        <f t="shared" ref="K175:S175" si="48">SUM(K167:K174)</f>
        <v>235000</v>
      </c>
      <c r="L175" s="14">
        <f t="shared" si="48"/>
        <v>141574</v>
      </c>
      <c r="M175" s="14">
        <f t="shared" si="48"/>
        <v>505000</v>
      </c>
      <c r="N175" s="14">
        <f t="shared" si="48"/>
        <v>220685.26</v>
      </c>
      <c r="O175" s="14">
        <f t="shared" si="48"/>
        <v>4173600</v>
      </c>
      <c r="P175" s="14">
        <f t="shared" si="48"/>
        <v>1355988.7</v>
      </c>
      <c r="Q175" s="14">
        <f t="shared" si="38"/>
        <v>32.473781024374716</v>
      </c>
      <c r="R175" s="14">
        <f t="shared" si="48"/>
        <v>378425</v>
      </c>
      <c r="S175" s="14">
        <f t="shared" si="48"/>
        <v>839.60119999997551</v>
      </c>
    </row>
    <row r="176" spans="1:19" ht="18" customHeight="1">
      <c r="A176" s="16" t="s">
        <v>12</v>
      </c>
      <c r="B176" s="16"/>
      <c r="C176" s="17"/>
      <c r="D176" s="16" t="s">
        <v>12</v>
      </c>
      <c r="E176" s="18" t="s">
        <v>179</v>
      </c>
      <c r="F176" s="19">
        <f>F175+F166+F157+F149+F140+F131+F122</f>
        <v>22669947.450000003</v>
      </c>
      <c r="G176" s="19">
        <v>295.12</v>
      </c>
      <c r="H176" s="19">
        <f t="shared" si="35"/>
        <v>27203936.940000001</v>
      </c>
      <c r="I176" s="19">
        <f t="shared" si="36"/>
        <v>36725314.869000003</v>
      </c>
      <c r="J176" s="19">
        <f>J175+J166+J157+J149+J140+J131+J122</f>
        <v>37252999.386600003</v>
      </c>
      <c r="K176" s="19">
        <f t="shared" ref="K176:S176" si="49">K175+K166+K157+K149+K140+K131+K122</f>
        <v>7711000</v>
      </c>
      <c r="L176" s="19">
        <f t="shared" si="49"/>
        <v>4326038</v>
      </c>
      <c r="M176" s="19">
        <f t="shared" si="49"/>
        <v>9830000</v>
      </c>
      <c r="N176" s="19">
        <f t="shared" si="49"/>
        <v>5834426.4699999997</v>
      </c>
      <c r="O176" s="19">
        <f t="shared" si="49"/>
        <v>15168600</v>
      </c>
      <c r="P176" s="19">
        <f t="shared" si="49"/>
        <v>7769174.8300000001</v>
      </c>
      <c r="Q176" s="19">
        <f t="shared" si="38"/>
        <v>48.129384466286325</v>
      </c>
      <c r="R176" s="19">
        <f t="shared" si="49"/>
        <v>4922425</v>
      </c>
      <c r="S176" s="19">
        <f t="shared" si="49"/>
        <v>379025.61339999939</v>
      </c>
    </row>
    <row r="177" spans="1:19" ht="18" customHeight="1">
      <c r="A177" s="5">
        <v>152</v>
      </c>
      <c r="B177" s="5">
        <v>5694</v>
      </c>
      <c r="C177" s="6" t="s">
        <v>440</v>
      </c>
      <c r="D177" s="5">
        <v>11107</v>
      </c>
      <c r="E177" s="7" t="s">
        <v>180</v>
      </c>
      <c r="F177" s="8">
        <v>344188.38</v>
      </c>
      <c r="G177" s="8">
        <v>219.48</v>
      </c>
      <c r="H177" s="8">
        <f t="shared" si="35"/>
        <v>413026.05600000004</v>
      </c>
      <c r="I177" s="8">
        <f t="shared" si="36"/>
        <v>557585.17560000008</v>
      </c>
      <c r="J177" s="37">
        <v>575000</v>
      </c>
      <c r="K177" s="5">
        <v>325000</v>
      </c>
      <c r="L177" s="5">
        <v>170166</v>
      </c>
      <c r="M177" s="5">
        <v>0</v>
      </c>
      <c r="N177" s="8">
        <v>0</v>
      </c>
      <c r="O177" s="5">
        <v>250000</v>
      </c>
      <c r="P177" s="8">
        <v>450905.44</v>
      </c>
      <c r="Q177" s="8">
        <f t="shared" si="38"/>
        <v>108.01242434782608</v>
      </c>
      <c r="R177" s="5">
        <v>0</v>
      </c>
      <c r="S177" s="8">
        <f t="shared" ref="S177:S227" si="50">(K177+M177+O177+R177)-J177</f>
        <v>0</v>
      </c>
    </row>
    <row r="178" spans="1:19" ht="18" customHeight="1">
      <c r="A178" s="5">
        <v>153</v>
      </c>
      <c r="B178" s="5">
        <v>3595</v>
      </c>
      <c r="C178" s="6" t="s">
        <v>441</v>
      </c>
      <c r="D178" s="5">
        <v>11106</v>
      </c>
      <c r="E178" s="7" t="s">
        <v>181</v>
      </c>
      <c r="F178" s="8">
        <v>412273.44</v>
      </c>
      <c r="G178" s="8">
        <v>249.46</v>
      </c>
      <c r="H178" s="8">
        <f t="shared" si="35"/>
        <v>494728.12799999997</v>
      </c>
      <c r="I178" s="8">
        <f t="shared" si="36"/>
        <v>667882.97279999999</v>
      </c>
      <c r="J178" s="8">
        <f t="shared" ref="J178:J183" si="51">+I178</f>
        <v>667882.97279999999</v>
      </c>
      <c r="K178" s="8">
        <v>250000</v>
      </c>
      <c r="L178" s="5">
        <v>48097</v>
      </c>
      <c r="M178" s="8">
        <v>0</v>
      </c>
      <c r="N178" s="8">
        <v>0</v>
      </c>
      <c r="O178" s="8">
        <v>418000</v>
      </c>
      <c r="P178" s="8">
        <v>378759.6</v>
      </c>
      <c r="Q178" s="8">
        <f t="shared" si="38"/>
        <v>63.911885372742354</v>
      </c>
      <c r="R178" s="8">
        <v>0</v>
      </c>
      <c r="S178" s="8">
        <f t="shared" si="50"/>
        <v>117.02720000001136</v>
      </c>
    </row>
    <row r="179" spans="1:19" ht="18" customHeight="1">
      <c r="A179" s="5">
        <v>154</v>
      </c>
      <c r="B179" s="5">
        <v>3716</v>
      </c>
      <c r="C179" s="6" t="s">
        <v>442</v>
      </c>
      <c r="D179" s="5">
        <v>12345</v>
      </c>
      <c r="E179" s="7" t="s">
        <v>182</v>
      </c>
      <c r="F179" s="8">
        <v>334233.12</v>
      </c>
      <c r="G179" s="8">
        <v>225.34</v>
      </c>
      <c r="H179" s="8">
        <f t="shared" si="35"/>
        <v>401079.74399999995</v>
      </c>
      <c r="I179" s="8">
        <f t="shared" si="36"/>
        <v>541457.65439999988</v>
      </c>
      <c r="J179" s="8">
        <f t="shared" si="51"/>
        <v>541457.65439999988</v>
      </c>
      <c r="K179" s="8">
        <v>342000</v>
      </c>
      <c r="L179" s="5">
        <v>192859</v>
      </c>
      <c r="M179" s="8">
        <v>0</v>
      </c>
      <c r="N179" s="8">
        <v>0</v>
      </c>
      <c r="O179" s="8">
        <v>200000</v>
      </c>
      <c r="P179" s="8">
        <v>346521</v>
      </c>
      <c r="Q179" s="8">
        <f t="shared" si="38"/>
        <v>99.61628497018809</v>
      </c>
      <c r="R179" s="8">
        <v>0</v>
      </c>
      <c r="S179" s="8">
        <f t="shared" si="50"/>
        <v>542.34560000011697</v>
      </c>
    </row>
    <row r="180" spans="1:19" ht="18" customHeight="1">
      <c r="A180" s="5">
        <v>155</v>
      </c>
      <c r="B180" s="5">
        <v>5971</v>
      </c>
      <c r="C180" s="6" t="s">
        <v>443</v>
      </c>
      <c r="D180" s="5">
        <v>13059</v>
      </c>
      <c r="E180" s="7" t="s">
        <v>183</v>
      </c>
      <c r="F180" s="8">
        <v>561316.30999999994</v>
      </c>
      <c r="G180" s="8">
        <v>363.59</v>
      </c>
      <c r="H180" s="8">
        <f t="shared" si="35"/>
        <v>673579.57199999993</v>
      </c>
      <c r="I180" s="8">
        <f t="shared" si="36"/>
        <v>909332.42219999991</v>
      </c>
      <c r="J180" s="8">
        <f t="shared" si="51"/>
        <v>909332.42219999991</v>
      </c>
      <c r="K180" s="8">
        <v>550000</v>
      </c>
      <c r="L180" s="5">
        <v>112171</v>
      </c>
      <c r="M180" s="8">
        <v>0</v>
      </c>
      <c r="N180" s="8">
        <v>0</v>
      </c>
      <c r="O180" s="8">
        <v>360000</v>
      </c>
      <c r="P180" s="8">
        <v>333552.28999999998</v>
      </c>
      <c r="Q180" s="8">
        <f t="shared" si="38"/>
        <v>49.016539949343951</v>
      </c>
      <c r="R180" s="8">
        <v>0</v>
      </c>
      <c r="S180" s="8">
        <f t="shared" si="50"/>
        <v>667.57780000008643</v>
      </c>
    </row>
    <row r="181" spans="1:19" ht="18" customHeight="1">
      <c r="A181" s="5">
        <v>156</v>
      </c>
      <c r="B181" s="5">
        <v>4039</v>
      </c>
      <c r="C181" s="6" t="s">
        <v>444</v>
      </c>
      <c r="D181" s="5">
        <v>11110</v>
      </c>
      <c r="E181" s="7" t="s">
        <v>184</v>
      </c>
      <c r="F181" s="8">
        <v>598534.5</v>
      </c>
      <c r="G181" s="8">
        <v>369.46</v>
      </c>
      <c r="H181" s="8">
        <f t="shared" si="35"/>
        <v>718241.39999999991</v>
      </c>
      <c r="I181" s="8">
        <f t="shared" si="36"/>
        <v>969625.8899999999</v>
      </c>
      <c r="J181" s="8">
        <f t="shared" si="51"/>
        <v>969625.8899999999</v>
      </c>
      <c r="K181" s="8">
        <v>150000</v>
      </c>
      <c r="L181" s="5">
        <v>93511</v>
      </c>
      <c r="M181" s="8">
        <v>350000</v>
      </c>
      <c r="N181" s="8">
        <v>144234.1</v>
      </c>
      <c r="O181" s="8">
        <v>400000</v>
      </c>
      <c r="P181" s="8">
        <v>135587.75</v>
      </c>
      <c r="Q181" s="8">
        <f t="shared" si="38"/>
        <v>38.502772445566613</v>
      </c>
      <c r="R181" s="8">
        <v>70000</v>
      </c>
      <c r="S181" s="8">
        <f t="shared" si="50"/>
        <v>374.11000000010245</v>
      </c>
    </row>
    <row r="182" spans="1:19" ht="18" customHeight="1">
      <c r="A182" s="5">
        <v>157</v>
      </c>
      <c r="B182" s="5">
        <v>5618</v>
      </c>
      <c r="C182" s="6" t="s">
        <v>369</v>
      </c>
      <c r="D182" s="5">
        <v>12551</v>
      </c>
      <c r="E182" s="7" t="s">
        <v>185</v>
      </c>
      <c r="F182" s="8">
        <v>450639.12</v>
      </c>
      <c r="G182" s="8">
        <v>291.98</v>
      </c>
      <c r="H182" s="8">
        <f t="shared" si="35"/>
        <v>540766.9439999999</v>
      </c>
      <c r="I182" s="8">
        <f t="shared" si="36"/>
        <v>730035.37439999986</v>
      </c>
      <c r="J182" s="8">
        <f t="shared" si="51"/>
        <v>730035.37439999986</v>
      </c>
      <c r="K182" s="8">
        <v>30000</v>
      </c>
      <c r="L182" s="5">
        <v>31259</v>
      </c>
      <c r="M182" s="8">
        <v>300000</v>
      </c>
      <c r="N182" s="8">
        <v>145236.32</v>
      </c>
      <c r="O182" s="8">
        <v>300000</v>
      </c>
      <c r="P182" s="8">
        <v>137631.70000000001</v>
      </c>
      <c r="Q182" s="8">
        <f t="shared" si="38"/>
        <v>43.029013526662894</v>
      </c>
      <c r="R182" s="8">
        <v>100500</v>
      </c>
      <c r="S182" s="8">
        <f t="shared" si="50"/>
        <v>464.62560000014491</v>
      </c>
    </row>
    <row r="183" spans="1:19" ht="18" customHeight="1">
      <c r="A183" s="5">
        <v>158</v>
      </c>
      <c r="B183" s="5">
        <v>5802</v>
      </c>
      <c r="C183" s="6" t="s">
        <v>445</v>
      </c>
      <c r="D183" s="5">
        <v>13178</v>
      </c>
      <c r="E183" s="7" t="s">
        <v>186</v>
      </c>
      <c r="F183" s="8">
        <v>500809.54000000004</v>
      </c>
      <c r="G183" s="8">
        <v>324.20999999999998</v>
      </c>
      <c r="H183" s="8">
        <f t="shared" si="35"/>
        <v>600971.44800000009</v>
      </c>
      <c r="I183" s="8">
        <f t="shared" si="36"/>
        <v>811311.45480000018</v>
      </c>
      <c r="J183" s="8">
        <f t="shared" si="51"/>
        <v>811311.45480000018</v>
      </c>
      <c r="K183" s="8">
        <v>50000</v>
      </c>
      <c r="L183" s="5">
        <v>55912</v>
      </c>
      <c r="M183" s="8">
        <v>350000</v>
      </c>
      <c r="N183" s="8">
        <v>208356.23</v>
      </c>
      <c r="O183" s="8">
        <v>350000</v>
      </c>
      <c r="P183" s="8">
        <v>135496.62</v>
      </c>
      <c r="Q183" s="8">
        <f t="shared" si="38"/>
        <v>49.273906788182565</v>
      </c>
      <c r="R183" s="8">
        <v>62000</v>
      </c>
      <c r="S183" s="8">
        <f t="shared" si="50"/>
        <v>688.54519999981858</v>
      </c>
    </row>
    <row r="184" spans="1:19" ht="18" customHeight="1">
      <c r="A184" s="10" t="s">
        <v>12</v>
      </c>
      <c r="B184" s="11"/>
      <c r="C184" s="12"/>
      <c r="D184" s="11" t="s">
        <v>12</v>
      </c>
      <c r="E184" s="13" t="s">
        <v>187</v>
      </c>
      <c r="F184" s="14">
        <f>SUM(F177:F183)</f>
        <v>3201994.41</v>
      </c>
      <c r="G184" s="14">
        <v>292.83999999999997</v>
      </c>
      <c r="H184" s="14">
        <f t="shared" si="35"/>
        <v>3842393.2919999999</v>
      </c>
      <c r="I184" s="14">
        <f t="shared" si="36"/>
        <v>5187230.9441999998</v>
      </c>
      <c r="J184" s="14">
        <f>SUM(J177:J183)</f>
        <v>5204645.7686000001</v>
      </c>
      <c r="K184" s="14">
        <f t="shared" ref="K184:S184" si="52">SUM(K177:K183)</f>
        <v>1697000</v>
      </c>
      <c r="L184" s="14">
        <f t="shared" si="52"/>
        <v>703975</v>
      </c>
      <c r="M184" s="14">
        <f t="shared" si="52"/>
        <v>1000000</v>
      </c>
      <c r="N184" s="14">
        <f t="shared" si="52"/>
        <v>497826.65</v>
      </c>
      <c r="O184" s="14">
        <f t="shared" si="52"/>
        <v>2278000</v>
      </c>
      <c r="P184" s="14">
        <f t="shared" si="52"/>
        <v>1918454.4</v>
      </c>
      <c r="Q184" s="14">
        <f t="shared" si="38"/>
        <v>59.95136246975207</v>
      </c>
      <c r="R184" s="14">
        <f t="shared" si="52"/>
        <v>232500</v>
      </c>
      <c r="S184" s="14">
        <f t="shared" si="52"/>
        <v>2854.2314000002807</v>
      </c>
    </row>
    <row r="185" spans="1:19" ht="18" customHeight="1">
      <c r="A185" s="5">
        <v>159</v>
      </c>
      <c r="B185" s="5">
        <v>3269</v>
      </c>
      <c r="C185" s="6" t="s">
        <v>446</v>
      </c>
      <c r="D185" s="5">
        <v>11811</v>
      </c>
      <c r="E185" s="7" t="s">
        <v>188</v>
      </c>
      <c r="F185" s="8">
        <v>302809.78000000003</v>
      </c>
      <c r="G185" s="8">
        <v>162.28</v>
      </c>
      <c r="H185" s="8">
        <f t="shared" si="35"/>
        <v>363371.73600000003</v>
      </c>
      <c r="I185" s="8">
        <f t="shared" si="36"/>
        <v>490551.84360000002</v>
      </c>
      <c r="J185" s="38">
        <v>560760</v>
      </c>
      <c r="K185" s="5">
        <v>240320</v>
      </c>
      <c r="L185" s="5">
        <v>105910</v>
      </c>
      <c r="M185" s="5">
        <v>0</v>
      </c>
      <c r="N185" s="8">
        <v>0</v>
      </c>
      <c r="O185" s="5">
        <v>320440</v>
      </c>
      <c r="P185" s="8">
        <v>187529.46</v>
      </c>
      <c r="Q185" s="8">
        <f t="shared" si="38"/>
        <v>52.328885797845771</v>
      </c>
      <c r="R185" s="5">
        <v>0</v>
      </c>
      <c r="S185" s="8">
        <f t="shared" si="50"/>
        <v>0</v>
      </c>
    </row>
    <row r="186" spans="1:19" ht="18" customHeight="1">
      <c r="A186" s="5">
        <v>160</v>
      </c>
      <c r="B186" s="5">
        <v>1704</v>
      </c>
      <c r="C186" s="6" t="s">
        <v>447</v>
      </c>
      <c r="D186" s="5">
        <v>11022</v>
      </c>
      <c r="E186" s="7" t="s">
        <v>189</v>
      </c>
      <c r="F186" s="8">
        <v>406852.78</v>
      </c>
      <c r="G186" s="8">
        <v>299.5</v>
      </c>
      <c r="H186" s="8">
        <f t="shared" si="35"/>
        <v>488223.33600000007</v>
      </c>
      <c r="I186" s="8">
        <f t="shared" si="36"/>
        <v>659101.50360000005</v>
      </c>
      <c r="J186" s="8">
        <f t="shared" ref="J186:J190" si="53">+I186</f>
        <v>659101.50360000005</v>
      </c>
      <c r="K186" s="8">
        <v>330000</v>
      </c>
      <c r="L186" s="5">
        <v>115937</v>
      </c>
      <c r="M186" s="5">
        <v>0</v>
      </c>
      <c r="N186" s="8">
        <v>-1814.85</v>
      </c>
      <c r="O186" s="8">
        <v>330000</v>
      </c>
      <c r="P186" s="8">
        <v>241736.38</v>
      </c>
      <c r="Q186" s="8">
        <f t="shared" si="38"/>
        <v>53.99146080782814</v>
      </c>
      <c r="R186" s="5">
        <v>0</v>
      </c>
      <c r="S186" s="8">
        <f t="shared" si="50"/>
        <v>898.49639999994542</v>
      </c>
    </row>
    <row r="187" spans="1:19" ht="18" customHeight="1">
      <c r="A187" s="5">
        <v>161</v>
      </c>
      <c r="B187" s="5">
        <v>5039</v>
      </c>
      <c r="C187" s="6" t="s">
        <v>448</v>
      </c>
      <c r="D187" s="5">
        <v>11020</v>
      </c>
      <c r="E187" s="7" t="s">
        <v>190</v>
      </c>
      <c r="F187" s="8">
        <v>368019.1</v>
      </c>
      <c r="G187" s="8">
        <v>287.25</v>
      </c>
      <c r="H187" s="8">
        <f t="shared" si="35"/>
        <v>441622.91999999993</v>
      </c>
      <c r="I187" s="8">
        <f t="shared" si="36"/>
        <v>596190.94199999992</v>
      </c>
      <c r="J187" s="8">
        <f t="shared" si="53"/>
        <v>596190.94199999992</v>
      </c>
      <c r="K187" s="8">
        <v>295000</v>
      </c>
      <c r="L187" s="5">
        <v>165409</v>
      </c>
      <c r="M187" s="5">
        <v>0</v>
      </c>
      <c r="N187" s="8">
        <v>-28467.81</v>
      </c>
      <c r="O187" s="8">
        <v>302000</v>
      </c>
      <c r="P187" s="8">
        <v>192790.19</v>
      </c>
      <c r="Q187" s="8">
        <f t="shared" si="38"/>
        <v>55.306338418003016</v>
      </c>
      <c r="R187" s="5">
        <v>0</v>
      </c>
      <c r="S187" s="8">
        <f t="shared" si="50"/>
        <v>809.0580000000773</v>
      </c>
    </row>
    <row r="188" spans="1:19" ht="18" customHeight="1">
      <c r="A188" s="5">
        <v>162</v>
      </c>
      <c r="B188" s="5">
        <v>7303</v>
      </c>
      <c r="C188" s="6" t="s">
        <v>449</v>
      </c>
      <c r="D188" s="5">
        <v>11023</v>
      </c>
      <c r="E188" s="7" t="s">
        <v>191</v>
      </c>
      <c r="F188" s="8">
        <v>308136.86</v>
      </c>
      <c r="G188" s="8">
        <v>234.13</v>
      </c>
      <c r="H188" s="8">
        <f t="shared" si="35"/>
        <v>369764.23199999996</v>
      </c>
      <c r="I188" s="8">
        <f t="shared" si="36"/>
        <v>499181.71319999994</v>
      </c>
      <c r="J188" s="8">
        <f t="shared" si="53"/>
        <v>499181.71319999994</v>
      </c>
      <c r="K188" s="8">
        <v>250000</v>
      </c>
      <c r="L188" s="5">
        <v>168791</v>
      </c>
      <c r="M188" s="5">
        <v>0</v>
      </c>
      <c r="N188" s="8">
        <v>-5701.66</v>
      </c>
      <c r="O188" s="8">
        <v>250000</v>
      </c>
      <c r="P188" s="8">
        <v>223388.91</v>
      </c>
      <c r="Q188" s="8">
        <f t="shared" si="38"/>
        <v>77.422357386147951</v>
      </c>
      <c r="R188" s="5">
        <v>0</v>
      </c>
      <c r="S188" s="8">
        <f t="shared" si="50"/>
        <v>818.28680000005988</v>
      </c>
    </row>
    <row r="189" spans="1:19" ht="18" customHeight="1">
      <c r="A189" s="5">
        <v>163</v>
      </c>
      <c r="B189" s="5">
        <v>2840</v>
      </c>
      <c r="C189" s="6" t="s">
        <v>450</v>
      </c>
      <c r="D189" s="5">
        <v>11024</v>
      </c>
      <c r="E189" s="7" t="s">
        <v>192</v>
      </c>
      <c r="F189" s="8">
        <v>464517.75999999995</v>
      </c>
      <c r="G189" s="8">
        <v>317.95</v>
      </c>
      <c r="H189" s="8">
        <f t="shared" si="35"/>
        <v>557421.31199999992</v>
      </c>
      <c r="I189" s="8">
        <f t="shared" si="36"/>
        <v>752518.77119999984</v>
      </c>
      <c r="J189" s="8">
        <f t="shared" si="53"/>
        <v>752518.77119999984</v>
      </c>
      <c r="K189" s="8">
        <v>152000</v>
      </c>
      <c r="L189" s="5">
        <v>34205</v>
      </c>
      <c r="M189" s="8">
        <v>350000</v>
      </c>
      <c r="N189" s="8">
        <v>171329.01</v>
      </c>
      <c r="O189" s="8">
        <v>250000</v>
      </c>
      <c r="P189" s="8">
        <v>46562.97</v>
      </c>
      <c r="Q189" s="8">
        <f t="shared" si="38"/>
        <v>33.500424128689176</v>
      </c>
      <c r="R189" s="5">
        <v>0</v>
      </c>
      <c r="S189" s="8">
        <f t="shared" si="50"/>
        <v>-518.77119999984279</v>
      </c>
    </row>
    <row r="190" spans="1:19" ht="18" customHeight="1">
      <c r="A190" s="5">
        <v>164</v>
      </c>
      <c r="B190" s="5">
        <v>7117</v>
      </c>
      <c r="C190" s="6" t="s">
        <v>451</v>
      </c>
      <c r="D190" s="5">
        <v>12601</v>
      </c>
      <c r="E190" s="7" t="s">
        <v>193</v>
      </c>
      <c r="F190" s="8">
        <v>312103.95999999996</v>
      </c>
      <c r="G190" s="8">
        <v>260.87</v>
      </c>
      <c r="H190" s="8">
        <f t="shared" si="35"/>
        <v>374524.75199999998</v>
      </c>
      <c r="I190" s="8">
        <f t="shared" si="36"/>
        <v>505608.41519999993</v>
      </c>
      <c r="J190" s="8">
        <f t="shared" si="53"/>
        <v>505608.41519999993</v>
      </c>
      <c r="K190" s="8">
        <v>205000</v>
      </c>
      <c r="L190" s="5">
        <v>85887</v>
      </c>
      <c r="M190" s="5">
        <v>0</v>
      </c>
      <c r="N190" s="8">
        <v>0</v>
      </c>
      <c r="O190" s="8">
        <v>300000</v>
      </c>
      <c r="P190" s="8">
        <v>206159.43</v>
      </c>
      <c r="Q190" s="8">
        <f t="shared" si="38"/>
        <v>57.761386325913357</v>
      </c>
      <c r="R190" s="5">
        <v>0</v>
      </c>
      <c r="S190" s="8">
        <f t="shared" si="50"/>
        <v>-608.41519999993034</v>
      </c>
    </row>
    <row r="191" spans="1:19" ht="18" customHeight="1">
      <c r="A191" s="5">
        <v>165</v>
      </c>
      <c r="B191" s="5">
        <v>5188</v>
      </c>
      <c r="C191" s="6" t="s">
        <v>452</v>
      </c>
      <c r="D191" s="5">
        <v>13661</v>
      </c>
      <c r="E191" s="7" t="s">
        <v>194</v>
      </c>
      <c r="F191" s="8">
        <v>334801.87</v>
      </c>
      <c r="G191" s="8">
        <v>185.55</v>
      </c>
      <c r="H191" s="8">
        <f t="shared" si="35"/>
        <v>401762.24399999995</v>
      </c>
      <c r="I191" s="8">
        <f t="shared" si="36"/>
        <v>542379.02939999988</v>
      </c>
      <c r="J191" s="38">
        <v>555750</v>
      </c>
      <c r="K191" s="5">
        <v>365000</v>
      </c>
      <c r="L191" s="5">
        <v>349255</v>
      </c>
      <c r="M191" s="5">
        <v>0</v>
      </c>
      <c r="N191" s="8">
        <v>0</v>
      </c>
      <c r="O191" s="5">
        <v>190000</v>
      </c>
      <c r="P191" s="8">
        <v>91286.51</v>
      </c>
      <c r="Q191" s="8">
        <f t="shared" si="38"/>
        <v>79.269727395411607</v>
      </c>
      <c r="R191" s="5">
        <v>0</v>
      </c>
      <c r="S191" s="8">
        <f t="shared" si="50"/>
        <v>-750</v>
      </c>
    </row>
    <row r="192" spans="1:19" ht="18" customHeight="1">
      <c r="A192" s="5">
        <v>166</v>
      </c>
      <c r="B192" s="5">
        <v>7619</v>
      </c>
      <c r="C192" s="6" t="s">
        <v>453</v>
      </c>
      <c r="D192" s="5">
        <v>14546</v>
      </c>
      <c r="E192" s="7" t="s">
        <v>195</v>
      </c>
      <c r="F192" s="8">
        <v>180016.39</v>
      </c>
      <c r="G192" s="8">
        <v>187.72</v>
      </c>
      <c r="H192" s="8">
        <f t="shared" si="35"/>
        <v>216019.66800000003</v>
      </c>
      <c r="I192" s="8">
        <f t="shared" si="36"/>
        <v>291626.55180000002</v>
      </c>
      <c r="J192" s="38">
        <v>310625</v>
      </c>
      <c r="K192" s="5">
        <v>180000</v>
      </c>
      <c r="L192" s="5">
        <v>65615</v>
      </c>
      <c r="M192" s="5">
        <v>0</v>
      </c>
      <c r="N192" s="8">
        <v>0</v>
      </c>
      <c r="O192" s="5">
        <v>130000</v>
      </c>
      <c r="P192" s="8">
        <v>232431.99</v>
      </c>
      <c r="Q192" s="8">
        <f t="shared" si="38"/>
        <v>95.950741247484913</v>
      </c>
      <c r="R192" s="5">
        <v>0</v>
      </c>
      <c r="S192" s="8">
        <f t="shared" si="50"/>
        <v>-625</v>
      </c>
    </row>
    <row r="193" spans="1:19" ht="18" customHeight="1">
      <c r="A193" s="10" t="s">
        <v>12</v>
      </c>
      <c r="B193" s="11"/>
      <c r="C193" s="12"/>
      <c r="D193" s="11" t="s">
        <v>12</v>
      </c>
      <c r="E193" s="13" t="s">
        <v>196</v>
      </c>
      <c r="F193" s="14">
        <f>SUM(F185:F192)</f>
        <v>2677258.5000000005</v>
      </c>
      <c r="G193" s="14">
        <v>238.21</v>
      </c>
      <c r="H193" s="14">
        <f t="shared" si="35"/>
        <v>3212710.2</v>
      </c>
      <c r="I193" s="14">
        <f t="shared" si="36"/>
        <v>4337158.7700000005</v>
      </c>
      <c r="J193" s="14">
        <f>SUM(J185:J192)</f>
        <v>4439736.3451999994</v>
      </c>
      <c r="K193" s="14">
        <f t="shared" ref="K193:S193" si="54">SUM(K185:K192)</f>
        <v>2017320</v>
      </c>
      <c r="L193" s="14">
        <f t="shared" si="54"/>
        <v>1091009</v>
      </c>
      <c r="M193" s="14">
        <f t="shared" si="54"/>
        <v>350000</v>
      </c>
      <c r="N193" s="14">
        <f t="shared" si="54"/>
        <v>135344.69</v>
      </c>
      <c r="O193" s="14">
        <f t="shared" si="54"/>
        <v>2072440</v>
      </c>
      <c r="P193" s="14">
        <f t="shared" si="54"/>
        <v>1421885.84</v>
      </c>
      <c r="Q193" s="14">
        <f t="shared" si="38"/>
        <v>59.648576494032859</v>
      </c>
      <c r="R193" s="14">
        <f t="shared" si="54"/>
        <v>0</v>
      </c>
      <c r="S193" s="14">
        <f t="shared" si="54"/>
        <v>23.654800000309478</v>
      </c>
    </row>
    <row r="194" spans="1:19" ht="18" customHeight="1">
      <c r="A194" s="5">
        <v>167</v>
      </c>
      <c r="B194" s="5">
        <v>1597</v>
      </c>
      <c r="C194" s="6" t="s">
        <v>454</v>
      </c>
      <c r="D194" s="5">
        <v>11019</v>
      </c>
      <c r="E194" s="7" t="s">
        <v>197</v>
      </c>
      <c r="F194" s="8">
        <v>420268.14</v>
      </c>
      <c r="G194" s="8">
        <v>254.67</v>
      </c>
      <c r="H194" s="8">
        <f t="shared" si="35"/>
        <v>504321.76799999998</v>
      </c>
      <c r="I194" s="8">
        <f t="shared" si="36"/>
        <v>680834.38679999998</v>
      </c>
      <c r="J194" s="8">
        <f t="shared" ref="J194:J196" si="55">+I194</f>
        <v>680834.38679999998</v>
      </c>
      <c r="K194" s="8">
        <v>350000</v>
      </c>
      <c r="L194" s="5">
        <v>155732</v>
      </c>
      <c r="M194" s="5">
        <v>0</v>
      </c>
      <c r="N194" s="8">
        <v>0</v>
      </c>
      <c r="O194" s="8">
        <v>330834</v>
      </c>
      <c r="P194" s="8">
        <v>248203.31</v>
      </c>
      <c r="Q194" s="8">
        <f t="shared" si="38"/>
        <v>59.329451894834875</v>
      </c>
      <c r="R194" s="5">
        <v>0</v>
      </c>
      <c r="S194" s="8">
        <f t="shared" si="50"/>
        <v>-0.38679999997839332</v>
      </c>
    </row>
    <row r="195" spans="1:19" ht="18" customHeight="1">
      <c r="A195" s="5">
        <v>168</v>
      </c>
      <c r="B195" s="5">
        <v>7423</v>
      </c>
      <c r="C195" s="6" t="s">
        <v>455</v>
      </c>
      <c r="D195" s="5">
        <v>11021</v>
      </c>
      <c r="E195" s="7" t="s">
        <v>198</v>
      </c>
      <c r="F195" s="8">
        <v>331412.63</v>
      </c>
      <c r="G195" s="8">
        <v>221.97</v>
      </c>
      <c r="H195" s="8">
        <f t="shared" si="35"/>
        <v>397695.15599999996</v>
      </c>
      <c r="I195" s="8">
        <f t="shared" si="36"/>
        <v>536888.46059999987</v>
      </c>
      <c r="J195" s="8">
        <f t="shared" si="55"/>
        <v>536888.46059999987</v>
      </c>
      <c r="K195" s="8">
        <v>350000</v>
      </c>
      <c r="L195" s="5">
        <v>70133</v>
      </c>
      <c r="M195" s="5">
        <v>0</v>
      </c>
      <c r="N195" s="8">
        <v>0</v>
      </c>
      <c r="O195" s="8">
        <v>186888</v>
      </c>
      <c r="P195" s="8">
        <v>303548.53999999998</v>
      </c>
      <c r="Q195" s="8">
        <f t="shared" si="38"/>
        <v>69.601335737853645</v>
      </c>
      <c r="R195" s="5">
        <v>0</v>
      </c>
      <c r="S195" s="8">
        <f t="shared" si="50"/>
        <v>-0.46059999987483025</v>
      </c>
    </row>
    <row r="196" spans="1:19" ht="18" customHeight="1">
      <c r="A196" s="5">
        <v>169</v>
      </c>
      <c r="B196" s="5">
        <v>3681</v>
      </c>
      <c r="C196" s="6" t="s">
        <v>456</v>
      </c>
      <c r="D196" s="5">
        <v>12298</v>
      </c>
      <c r="E196" s="7" t="s">
        <v>199</v>
      </c>
      <c r="F196" s="8">
        <v>478055.19999999995</v>
      </c>
      <c r="G196" s="8">
        <v>299.51</v>
      </c>
      <c r="H196" s="8">
        <f t="shared" ref="H196:H259" si="56">(F196/5)*6</f>
        <v>573666.24</v>
      </c>
      <c r="I196" s="8">
        <f t="shared" ref="I196:I259" si="57">(H196*35%)+H196</f>
        <v>774449.424</v>
      </c>
      <c r="J196" s="8">
        <f t="shared" si="55"/>
        <v>774449.424</v>
      </c>
      <c r="K196" s="8">
        <v>400000</v>
      </c>
      <c r="L196" s="5">
        <v>240283</v>
      </c>
      <c r="M196" s="5">
        <v>0</v>
      </c>
      <c r="N196" s="8">
        <v>0</v>
      </c>
      <c r="O196" s="8">
        <v>374449</v>
      </c>
      <c r="P196" s="8">
        <v>265857.15000000002</v>
      </c>
      <c r="Q196" s="8">
        <f t="shared" ref="Q196:Q259" si="58">(P196+N196+L196)/J196%</f>
        <v>65.354835876280546</v>
      </c>
      <c r="R196" s="5">
        <v>0</v>
      </c>
      <c r="S196" s="8">
        <f t="shared" si="50"/>
        <v>-0.42399999999906868</v>
      </c>
    </row>
    <row r="197" spans="1:19" ht="18" customHeight="1">
      <c r="A197" s="5">
        <v>170</v>
      </c>
      <c r="B197" s="5">
        <v>3427</v>
      </c>
      <c r="C197" s="6" t="s">
        <v>457</v>
      </c>
      <c r="D197" s="5">
        <v>14076</v>
      </c>
      <c r="E197" s="7" t="s">
        <v>200</v>
      </c>
      <c r="F197" s="8">
        <v>131849.70000000001</v>
      </c>
      <c r="G197" s="8">
        <v>166.67</v>
      </c>
      <c r="H197" s="8">
        <f t="shared" si="56"/>
        <v>158219.64000000001</v>
      </c>
      <c r="I197" s="8">
        <f t="shared" si="57"/>
        <v>213596.51400000002</v>
      </c>
      <c r="J197" s="38">
        <v>230597</v>
      </c>
      <c r="K197" s="5">
        <v>150000</v>
      </c>
      <c r="L197" s="5">
        <v>72334</v>
      </c>
      <c r="M197" s="5">
        <v>0</v>
      </c>
      <c r="N197" s="8">
        <v>0</v>
      </c>
      <c r="O197" s="5">
        <v>0</v>
      </c>
      <c r="P197" s="8">
        <v>0</v>
      </c>
      <c r="Q197" s="8">
        <f t="shared" si="58"/>
        <v>31.368144425122619</v>
      </c>
      <c r="R197" s="5">
        <v>80000</v>
      </c>
      <c r="S197" s="8">
        <f t="shared" si="50"/>
        <v>-597</v>
      </c>
    </row>
    <row r="198" spans="1:19" ht="18" customHeight="1">
      <c r="A198" s="5">
        <v>171</v>
      </c>
      <c r="B198" s="5">
        <v>0</v>
      </c>
      <c r="C198" s="29" t="s">
        <v>307</v>
      </c>
      <c r="D198" s="5">
        <v>11025</v>
      </c>
      <c r="E198" s="7" t="s">
        <v>201</v>
      </c>
      <c r="F198" s="8">
        <v>190688.14</v>
      </c>
      <c r="G198" s="8">
        <v>255.65</v>
      </c>
      <c r="H198" s="8">
        <f t="shared" si="56"/>
        <v>228825.76800000004</v>
      </c>
      <c r="I198" s="8">
        <f t="shared" si="57"/>
        <v>308914.78680000006</v>
      </c>
      <c r="J198" s="8">
        <f>+I198</f>
        <v>308914.78680000006</v>
      </c>
      <c r="K198" s="8">
        <v>80000</v>
      </c>
      <c r="L198" s="5">
        <v>16245</v>
      </c>
      <c r="M198" s="8">
        <v>150000</v>
      </c>
      <c r="N198" s="8">
        <v>107009.37</v>
      </c>
      <c r="O198" s="5">
        <v>0</v>
      </c>
      <c r="P198" s="8">
        <v>0</v>
      </c>
      <c r="Q198" s="8">
        <f t="shared" si="58"/>
        <v>39.899148654155645</v>
      </c>
      <c r="R198" s="8">
        <v>78915</v>
      </c>
      <c r="S198" s="8">
        <f t="shared" si="50"/>
        <v>0.21319999994011596</v>
      </c>
    </row>
    <row r="199" spans="1:19" ht="18" customHeight="1">
      <c r="A199" s="5">
        <v>172</v>
      </c>
      <c r="B199" s="5">
        <v>1911</v>
      </c>
      <c r="C199" s="6" t="s">
        <v>458</v>
      </c>
      <c r="D199" s="5">
        <v>12343</v>
      </c>
      <c r="E199" s="7" t="s">
        <v>202</v>
      </c>
      <c r="F199" s="8">
        <v>92058.54</v>
      </c>
      <c r="G199" s="8">
        <v>126.22</v>
      </c>
      <c r="H199" s="8">
        <f t="shared" si="56"/>
        <v>110470.24799999999</v>
      </c>
      <c r="I199" s="8">
        <f t="shared" si="57"/>
        <v>149134.83479999998</v>
      </c>
      <c r="J199" s="38">
        <v>180000</v>
      </c>
      <c r="K199" s="5">
        <v>100000</v>
      </c>
      <c r="L199" s="5">
        <v>73674</v>
      </c>
      <c r="M199" s="5">
        <v>0</v>
      </c>
      <c r="N199" s="8">
        <v>-449.78</v>
      </c>
      <c r="O199" s="5">
        <v>0</v>
      </c>
      <c r="P199" s="8">
        <v>0</v>
      </c>
      <c r="Q199" s="8">
        <f t="shared" si="58"/>
        <v>40.680122222222224</v>
      </c>
      <c r="R199" s="5">
        <v>80000</v>
      </c>
      <c r="S199" s="8">
        <f t="shared" si="50"/>
        <v>0</v>
      </c>
    </row>
    <row r="200" spans="1:19" ht="18" customHeight="1">
      <c r="A200" s="5">
        <v>173</v>
      </c>
      <c r="B200" s="5">
        <v>4037</v>
      </c>
      <c r="C200" s="6" t="s">
        <v>381</v>
      </c>
      <c r="D200" s="5">
        <v>13177</v>
      </c>
      <c r="E200" s="7" t="s">
        <v>203</v>
      </c>
      <c r="F200" s="8">
        <v>234715.48</v>
      </c>
      <c r="G200" s="8">
        <v>180.44</v>
      </c>
      <c r="H200" s="8">
        <f t="shared" si="56"/>
        <v>281658.576</v>
      </c>
      <c r="I200" s="8">
        <f t="shared" si="57"/>
        <v>380239.07759999996</v>
      </c>
      <c r="J200" s="38">
        <v>400239</v>
      </c>
      <c r="K200" s="5">
        <v>250000</v>
      </c>
      <c r="L200" s="5">
        <v>199993</v>
      </c>
      <c r="M200" s="5">
        <v>0</v>
      </c>
      <c r="N200" s="8">
        <v>0</v>
      </c>
      <c r="O200" s="5">
        <v>0</v>
      </c>
      <c r="P200" s="8">
        <v>0</v>
      </c>
      <c r="Q200" s="8">
        <f t="shared" si="58"/>
        <v>49.968393884653921</v>
      </c>
      <c r="R200" s="5">
        <v>150239</v>
      </c>
      <c r="S200" s="8">
        <f t="shared" si="50"/>
        <v>0</v>
      </c>
    </row>
    <row r="201" spans="1:19" ht="18" customHeight="1">
      <c r="A201" s="5">
        <v>174</v>
      </c>
      <c r="B201" s="5">
        <v>1863</v>
      </c>
      <c r="C201" s="6" t="s">
        <v>459</v>
      </c>
      <c r="D201" s="5">
        <v>14713</v>
      </c>
      <c r="E201" s="7" t="s">
        <v>204</v>
      </c>
      <c r="F201" s="8">
        <v>123287.28</v>
      </c>
      <c r="G201" s="8">
        <v>148.04</v>
      </c>
      <c r="H201" s="8">
        <f t="shared" si="56"/>
        <v>147944.73599999998</v>
      </c>
      <c r="I201" s="8">
        <f t="shared" si="57"/>
        <v>199725.39359999995</v>
      </c>
      <c r="J201" s="38">
        <v>220725</v>
      </c>
      <c r="K201" s="5">
        <v>100000</v>
      </c>
      <c r="L201" s="5">
        <v>157899</v>
      </c>
      <c r="M201" s="5">
        <v>0</v>
      </c>
      <c r="N201" s="8">
        <v>-449.78</v>
      </c>
      <c r="O201" s="5">
        <v>0</v>
      </c>
      <c r="P201" s="8">
        <v>0</v>
      </c>
      <c r="Q201" s="8">
        <f t="shared" si="58"/>
        <v>71.332753426209081</v>
      </c>
      <c r="R201" s="5">
        <v>120000</v>
      </c>
      <c r="S201" s="8">
        <f t="shared" si="50"/>
        <v>-725</v>
      </c>
    </row>
    <row r="202" spans="1:19" ht="18" customHeight="1">
      <c r="A202" s="10" t="s">
        <v>12</v>
      </c>
      <c r="B202" s="11"/>
      <c r="C202" s="12"/>
      <c r="D202" s="11" t="s">
        <v>12</v>
      </c>
      <c r="E202" s="13" t="s">
        <v>205</v>
      </c>
      <c r="F202" s="14">
        <f>SUM(F194:F201)</f>
        <v>2002335.11</v>
      </c>
      <c r="G202" s="14">
        <v>218.63</v>
      </c>
      <c r="H202" s="14">
        <f t="shared" si="56"/>
        <v>2402802.1320000002</v>
      </c>
      <c r="I202" s="14">
        <f t="shared" si="57"/>
        <v>3243782.8782000002</v>
      </c>
      <c r="J202" s="14">
        <f>SUM(J194:J201)</f>
        <v>3332648.0581999999</v>
      </c>
      <c r="K202" s="14">
        <f t="shared" ref="K202:S202" si="59">SUM(K194:K201)</f>
        <v>1780000</v>
      </c>
      <c r="L202" s="14">
        <f t="shared" si="59"/>
        <v>986293</v>
      </c>
      <c r="M202" s="14">
        <f t="shared" si="59"/>
        <v>150000</v>
      </c>
      <c r="N202" s="14">
        <f t="shared" si="59"/>
        <v>106109.81</v>
      </c>
      <c r="O202" s="14">
        <f t="shared" si="59"/>
        <v>892171</v>
      </c>
      <c r="P202" s="14">
        <f t="shared" si="59"/>
        <v>817609</v>
      </c>
      <c r="Q202" s="14">
        <f t="shared" si="58"/>
        <v>57.312136674630402</v>
      </c>
      <c r="R202" s="14">
        <f t="shared" si="59"/>
        <v>509154</v>
      </c>
      <c r="S202" s="14">
        <f t="shared" si="59"/>
        <v>-1323.0581999999122</v>
      </c>
    </row>
    <row r="203" spans="1:19" ht="18" customHeight="1">
      <c r="A203" s="5">
        <v>175</v>
      </c>
      <c r="B203" s="5">
        <v>2107</v>
      </c>
      <c r="C203" s="6" t="s">
        <v>460</v>
      </c>
      <c r="D203" s="5">
        <v>11117</v>
      </c>
      <c r="E203" s="7" t="s">
        <v>206</v>
      </c>
      <c r="F203" s="8">
        <v>346524.77</v>
      </c>
      <c r="G203" s="8">
        <v>241.65</v>
      </c>
      <c r="H203" s="8">
        <f t="shared" si="56"/>
        <v>415829.72399999999</v>
      </c>
      <c r="I203" s="8">
        <f t="shared" si="57"/>
        <v>561370.1274</v>
      </c>
      <c r="J203" s="8">
        <f t="shared" ref="J203:J205" si="60">+I203</f>
        <v>561370.1274</v>
      </c>
      <c r="K203" s="8">
        <v>100000</v>
      </c>
      <c r="L203" s="5">
        <v>19868</v>
      </c>
      <c r="M203" s="8">
        <v>150000</v>
      </c>
      <c r="N203" s="8">
        <v>58294.3</v>
      </c>
      <c r="O203" s="8">
        <v>250000</v>
      </c>
      <c r="P203" s="8">
        <v>166496.85999999999</v>
      </c>
      <c r="Q203" s="8">
        <f t="shared" si="58"/>
        <v>43.582504315494141</v>
      </c>
      <c r="R203" s="8">
        <v>61370</v>
      </c>
      <c r="S203" s="8">
        <f t="shared" si="50"/>
        <v>-0.12739999999757856</v>
      </c>
    </row>
    <row r="204" spans="1:19" ht="18" customHeight="1">
      <c r="A204" s="5">
        <v>176</v>
      </c>
      <c r="B204" s="5">
        <v>5988</v>
      </c>
      <c r="C204" s="6" t="s">
        <v>461</v>
      </c>
      <c r="D204" s="5">
        <v>11039</v>
      </c>
      <c r="E204" s="7" t="s">
        <v>207</v>
      </c>
      <c r="F204" s="8">
        <v>313796.40000000002</v>
      </c>
      <c r="G204" s="8">
        <v>234.99</v>
      </c>
      <c r="H204" s="8">
        <f t="shared" si="56"/>
        <v>376555.68000000005</v>
      </c>
      <c r="I204" s="8">
        <f t="shared" si="57"/>
        <v>508350.16800000006</v>
      </c>
      <c r="J204" s="8">
        <f t="shared" si="60"/>
        <v>508350.16800000006</v>
      </c>
      <c r="K204" s="8">
        <v>30000</v>
      </c>
      <c r="L204" s="5">
        <v>18276</v>
      </c>
      <c r="M204" s="8">
        <v>300000</v>
      </c>
      <c r="N204" s="8">
        <v>348935.53</v>
      </c>
      <c r="O204" s="8">
        <v>150000</v>
      </c>
      <c r="P204" s="8">
        <v>74318.59</v>
      </c>
      <c r="Q204" s="8">
        <f t="shared" si="58"/>
        <v>86.855507835693288</v>
      </c>
      <c r="R204" s="8">
        <v>28350</v>
      </c>
      <c r="S204" s="8">
        <f t="shared" si="50"/>
        <v>-0.16800000006332994</v>
      </c>
    </row>
    <row r="205" spans="1:19" ht="18" customHeight="1">
      <c r="A205" s="5">
        <v>177</v>
      </c>
      <c r="B205" s="5">
        <v>7263</v>
      </c>
      <c r="C205" s="6" t="s">
        <v>462</v>
      </c>
      <c r="D205" s="5">
        <v>13634</v>
      </c>
      <c r="E205" s="7" t="s">
        <v>208</v>
      </c>
      <c r="F205" s="8">
        <v>456943.88000000006</v>
      </c>
      <c r="G205" s="8">
        <v>360.36</v>
      </c>
      <c r="H205" s="8">
        <f t="shared" si="56"/>
        <v>548332.65600000008</v>
      </c>
      <c r="I205" s="8">
        <f t="shared" si="57"/>
        <v>740249.08560000011</v>
      </c>
      <c r="J205" s="8">
        <f t="shared" si="60"/>
        <v>740249.08560000011</v>
      </c>
      <c r="K205" s="8">
        <v>100000</v>
      </c>
      <c r="L205" s="5">
        <v>46707</v>
      </c>
      <c r="M205" s="8">
        <v>100000</v>
      </c>
      <c r="N205" s="8">
        <v>75717.77</v>
      </c>
      <c r="O205" s="8">
        <v>400000</v>
      </c>
      <c r="P205" s="8">
        <v>247454.96</v>
      </c>
      <c r="Q205" s="8">
        <f t="shared" si="58"/>
        <v>49.966928321187773</v>
      </c>
      <c r="R205" s="8">
        <v>140249</v>
      </c>
      <c r="S205" s="8">
        <f t="shared" si="50"/>
        <v>-8.560000010766089E-2</v>
      </c>
    </row>
    <row r="206" spans="1:19" ht="18" customHeight="1">
      <c r="A206" s="5">
        <v>178</v>
      </c>
      <c r="B206" s="5">
        <v>1621</v>
      </c>
      <c r="C206" s="6" t="s">
        <v>463</v>
      </c>
      <c r="D206" s="5">
        <v>12062</v>
      </c>
      <c r="E206" s="7" t="s">
        <v>209</v>
      </c>
      <c r="F206" s="8">
        <v>250112.56999999998</v>
      </c>
      <c r="G206" s="8">
        <v>177.24</v>
      </c>
      <c r="H206" s="8">
        <f t="shared" si="56"/>
        <v>300135.08399999997</v>
      </c>
      <c r="I206" s="8">
        <f t="shared" si="57"/>
        <v>405182.36339999997</v>
      </c>
      <c r="J206" s="38">
        <v>455000</v>
      </c>
      <c r="K206" s="5">
        <v>10000</v>
      </c>
      <c r="L206" s="5">
        <v>908</v>
      </c>
      <c r="M206" s="5">
        <v>10000</v>
      </c>
      <c r="N206" s="8">
        <v>8812.1299999999992</v>
      </c>
      <c r="O206" s="5">
        <v>425000</v>
      </c>
      <c r="P206" s="8">
        <v>11799.09</v>
      </c>
      <c r="Q206" s="8">
        <f t="shared" si="58"/>
        <v>4.7294989010989017</v>
      </c>
      <c r="R206" s="5">
        <v>10000</v>
      </c>
      <c r="S206" s="8">
        <f t="shared" si="50"/>
        <v>0</v>
      </c>
    </row>
    <row r="207" spans="1:19" ht="18" customHeight="1">
      <c r="A207" s="5">
        <v>179</v>
      </c>
      <c r="B207" s="5">
        <v>2025</v>
      </c>
      <c r="C207" s="6" t="s">
        <v>464</v>
      </c>
      <c r="D207" s="5">
        <v>12581</v>
      </c>
      <c r="E207" s="7" t="s">
        <v>210</v>
      </c>
      <c r="F207" s="8">
        <v>264220.07</v>
      </c>
      <c r="G207" s="8">
        <v>192.49</v>
      </c>
      <c r="H207" s="8">
        <f t="shared" si="56"/>
        <v>317064.08400000003</v>
      </c>
      <c r="I207" s="8">
        <f t="shared" si="57"/>
        <v>428036.51340000005</v>
      </c>
      <c r="J207" s="38">
        <v>470000</v>
      </c>
      <c r="K207" s="5">
        <v>10000</v>
      </c>
      <c r="L207" s="5">
        <v>2152</v>
      </c>
      <c r="M207" s="5">
        <v>20000</v>
      </c>
      <c r="N207" s="8">
        <v>6952.24</v>
      </c>
      <c r="O207" s="5">
        <v>430000</v>
      </c>
      <c r="P207" s="8">
        <v>63962.559999999998</v>
      </c>
      <c r="Q207" s="8">
        <f t="shared" si="58"/>
        <v>15.546127659574468</v>
      </c>
      <c r="R207" s="5">
        <v>10000</v>
      </c>
      <c r="S207" s="8">
        <f t="shared" si="50"/>
        <v>0</v>
      </c>
    </row>
    <row r="208" spans="1:19" ht="18" customHeight="1">
      <c r="A208" s="5">
        <v>180</v>
      </c>
      <c r="B208" s="5">
        <v>5868</v>
      </c>
      <c r="C208" s="6" t="s">
        <v>465</v>
      </c>
      <c r="D208" s="5">
        <v>13236</v>
      </c>
      <c r="E208" s="7" t="s">
        <v>211</v>
      </c>
      <c r="F208" s="8">
        <v>244497.44</v>
      </c>
      <c r="G208" s="8">
        <v>182.23</v>
      </c>
      <c r="H208" s="8">
        <f t="shared" si="56"/>
        <v>293396.92799999996</v>
      </c>
      <c r="I208" s="8">
        <f t="shared" si="57"/>
        <v>396085.85279999994</v>
      </c>
      <c r="J208" s="38">
        <v>450000</v>
      </c>
      <c r="K208" s="5">
        <v>10000</v>
      </c>
      <c r="L208" s="5">
        <v>10327</v>
      </c>
      <c r="M208" s="5">
        <v>10000</v>
      </c>
      <c r="N208" s="8">
        <v>24000.34</v>
      </c>
      <c r="O208" s="5">
        <v>420000</v>
      </c>
      <c r="P208" s="8">
        <v>16533.75</v>
      </c>
      <c r="Q208" s="8">
        <f t="shared" si="58"/>
        <v>11.302464444444444</v>
      </c>
      <c r="R208" s="5">
        <v>10000</v>
      </c>
      <c r="S208" s="8">
        <f t="shared" si="50"/>
        <v>0</v>
      </c>
    </row>
    <row r="209" spans="1:19" ht="18" customHeight="1">
      <c r="A209" s="5">
        <v>181</v>
      </c>
      <c r="B209" s="5">
        <v>5612</v>
      </c>
      <c r="C209" s="6" t="s">
        <v>466</v>
      </c>
      <c r="D209" s="5">
        <v>11123</v>
      </c>
      <c r="E209" s="7" t="s">
        <v>212</v>
      </c>
      <c r="F209" s="8">
        <v>274403.49</v>
      </c>
      <c r="G209" s="8">
        <v>191.38</v>
      </c>
      <c r="H209" s="8">
        <f t="shared" si="56"/>
        <v>329284.18799999997</v>
      </c>
      <c r="I209" s="8">
        <f t="shared" si="57"/>
        <v>444533.65379999997</v>
      </c>
      <c r="J209" s="38">
        <v>475000</v>
      </c>
      <c r="K209" s="5">
        <v>100000</v>
      </c>
      <c r="L209" s="5">
        <v>70531</v>
      </c>
      <c r="M209" s="5">
        <v>100000</v>
      </c>
      <c r="N209" s="8">
        <v>66143.94</v>
      </c>
      <c r="O209" s="5">
        <v>175000</v>
      </c>
      <c r="P209" s="8">
        <v>115083.94</v>
      </c>
      <c r="Q209" s="8">
        <f t="shared" si="58"/>
        <v>53.001869473684209</v>
      </c>
      <c r="R209" s="5">
        <v>100000</v>
      </c>
      <c r="S209" s="8">
        <f t="shared" si="50"/>
        <v>0</v>
      </c>
    </row>
    <row r="210" spans="1:19" ht="18" customHeight="1">
      <c r="A210" s="5">
        <v>182</v>
      </c>
      <c r="B210" s="5">
        <v>6049</v>
      </c>
      <c r="C210" s="6" t="s">
        <v>467</v>
      </c>
      <c r="D210" s="5">
        <v>11008</v>
      </c>
      <c r="E210" s="7" t="s">
        <v>213</v>
      </c>
      <c r="F210" s="8">
        <v>303434.45</v>
      </c>
      <c r="G210" s="8">
        <v>269.47000000000003</v>
      </c>
      <c r="H210" s="8">
        <f t="shared" si="56"/>
        <v>364121.33999999997</v>
      </c>
      <c r="I210" s="8">
        <f t="shared" si="57"/>
        <v>491563.80899999995</v>
      </c>
      <c r="J210" s="8">
        <f>+I210</f>
        <v>491563.80899999995</v>
      </c>
      <c r="K210" s="8">
        <v>80000</v>
      </c>
      <c r="L210" s="5">
        <v>33095</v>
      </c>
      <c r="M210" s="8">
        <v>150000</v>
      </c>
      <c r="N210" s="8">
        <v>110218.33</v>
      </c>
      <c r="O210" s="8">
        <v>150000</v>
      </c>
      <c r="P210" s="8">
        <v>33618.51</v>
      </c>
      <c r="Q210" s="8">
        <f t="shared" si="58"/>
        <v>35.993666897474952</v>
      </c>
      <c r="R210" s="8">
        <v>111564</v>
      </c>
      <c r="S210" s="8">
        <f t="shared" si="50"/>
        <v>0.19100000004982576</v>
      </c>
    </row>
    <row r="211" spans="1:19" ht="18" customHeight="1">
      <c r="A211" s="10" t="s">
        <v>12</v>
      </c>
      <c r="B211" s="11"/>
      <c r="C211" s="12"/>
      <c r="D211" s="11" t="s">
        <v>12</v>
      </c>
      <c r="E211" s="13" t="s">
        <v>214</v>
      </c>
      <c r="F211" s="14">
        <f>SUM(F203:F210)</f>
        <v>2453933.0700000003</v>
      </c>
      <c r="G211" s="14">
        <v>228.82</v>
      </c>
      <c r="H211" s="14">
        <f t="shared" si="56"/>
        <v>2944719.6840000004</v>
      </c>
      <c r="I211" s="14">
        <f t="shared" si="57"/>
        <v>3975371.5734000006</v>
      </c>
      <c r="J211" s="14">
        <f>SUM(J203:J210)</f>
        <v>4151533.19</v>
      </c>
      <c r="K211" s="14">
        <f t="shared" ref="K211:S211" si="61">SUM(K203:K210)</f>
        <v>440000</v>
      </c>
      <c r="L211" s="14">
        <f t="shared" si="61"/>
        <v>201864</v>
      </c>
      <c r="M211" s="14">
        <f t="shared" si="61"/>
        <v>840000</v>
      </c>
      <c r="N211" s="14">
        <f t="shared" si="61"/>
        <v>699074.58</v>
      </c>
      <c r="O211" s="14">
        <f t="shared" si="61"/>
        <v>2400000</v>
      </c>
      <c r="P211" s="14">
        <f t="shared" si="61"/>
        <v>729268.26</v>
      </c>
      <c r="Q211" s="14">
        <f t="shared" si="58"/>
        <v>39.267585380908393</v>
      </c>
      <c r="R211" s="14">
        <f t="shared" si="61"/>
        <v>471533</v>
      </c>
      <c r="S211" s="14">
        <f t="shared" si="61"/>
        <v>-0.19000000011874363</v>
      </c>
    </row>
    <row r="212" spans="1:19" ht="18" customHeight="1">
      <c r="A212" s="5">
        <v>183</v>
      </c>
      <c r="B212" s="5">
        <v>7140</v>
      </c>
      <c r="C212" s="6" t="s">
        <v>468</v>
      </c>
      <c r="D212" s="5">
        <v>11037</v>
      </c>
      <c r="E212" s="7" t="s">
        <v>215</v>
      </c>
      <c r="F212" s="8">
        <v>302768.43999999994</v>
      </c>
      <c r="G212" s="8">
        <v>263</v>
      </c>
      <c r="H212" s="8">
        <f t="shared" si="56"/>
        <v>363322.12799999991</v>
      </c>
      <c r="I212" s="8">
        <f t="shared" si="57"/>
        <v>490484.8727999999</v>
      </c>
      <c r="J212" s="8">
        <v>490484.8727999999</v>
      </c>
      <c r="K212" s="8">
        <v>15485</v>
      </c>
      <c r="L212" s="5">
        <v>3862</v>
      </c>
      <c r="M212" s="5">
        <v>25000</v>
      </c>
      <c r="N212" s="8">
        <v>16815.29</v>
      </c>
      <c r="O212" s="5">
        <v>380000</v>
      </c>
      <c r="P212" s="8">
        <v>161529.76</v>
      </c>
      <c r="Q212" s="8">
        <f t="shared" si="58"/>
        <v>37.14835260052898</v>
      </c>
      <c r="R212" s="5">
        <v>70000</v>
      </c>
      <c r="S212" s="8">
        <f t="shared" si="50"/>
        <v>0.12720000010449439</v>
      </c>
    </row>
    <row r="213" spans="1:19" ht="18" customHeight="1">
      <c r="A213" s="5">
        <v>184</v>
      </c>
      <c r="B213" s="5">
        <v>4158</v>
      </c>
      <c r="C213" s="6" t="s">
        <v>469</v>
      </c>
      <c r="D213" s="5">
        <v>11035</v>
      </c>
      <c r="E213" s="7" t="s">
        <v>216</v>
      </c>
      <c r="F213" s="8">
        <v>525087.81000000006</v>
      </c>
      <c r="G213" s="8">
        <v>353.93</v>
      </c>
      <c r="H213" s="8">
        <f t="shared" si="56"/>
        <v>630105.37199999997</v>
      </c>
      <c r="I213" s="8">
        <f t="shared" si="57"/>
        <v>850642.25219999999</v>
      </c>
      <c r="J213" s="8">
        <v>850642.25219999999</v>
      </c>
      <c r="K213" s="8">
        <v>10000</v>
      </c>
      <c r="L213" s="5">
        <v>1610</v>
      </c>
      <c r="M213" s="5">
        <v>250000</v>
      </c>
      <c r="N213" s="8">
        <v>240337.55</v>
      </c>
      <c r="O213" s="5">
        <v>580642</v>
      </c>
      <c r="P213" s="8">
        <v>181558.07</v>
      </c>
      <c r="Q213" s="8">
        <f t="shared" si="58"/>
        <v>49.786572311062066</v>
      </c>
      <c r="R213" s="5">
        <v>10000</v>
      </c>
      <c r="S213" s="8">
        <f t="shared" si="50"/>
        <v>-0.25219999998807907</v>
      </c>
    </row>
    <row r="214" spans="1:19" ht="18" customHeight="1">
      <c r="A214" s="5">
        <v>185</v>
      </c>
      <c r="B214" s="5">
        <v>8725</v>
      </c>
      <c r="C214" s="6" t="s">
        <v>470</v>
      </c>
      <c r="D214" s="5">
        <v>11034</v>
      </c>
      <c r="E214" s="7" t="s">
        <v>217</v>
      </c>
      <c r="F214" s="8">
        <v>365291.98</v>
      </c>
      <c r="G214" s="8">
        <v>237.9</v>
      </c>
      <c r="H214" s="8">
        <f t="shared" si="56"/>
        <v>438350.37599999993</v>
      </c>
      <c r="I214" s="8">
        <f t="shared" si="57"/>
        <v>591773.0075999999</v>
      </c>
      <c r="J214" s="8">
        <v>591773.0075999999</v>
      </c>
      <c r="K214" s="8">
        <v>10000</v>
      </c>
      <c r="L214" s="5">
        <v>878</v>
      </c>
      <c r="M214" s="5">
        <v>250000</v>
      </c>
      <c r="N214" s="8">
        <v>234235.96</v>
      </c>
      <c r="O214" s="5">
        <v>321773</v>
      </c>
      <c r="P214" s="8">
        <v>142952.82999999999</v>
      </c>
      <c r="Q214" s="8">
        <f t="shared" si="58"/>
        <v>63.887129886726527</v>
      </c>
      <c r="R214" s="5">
        <v>10000</v>
      </c>
      <c r="S214" s="8">
        <f t="shared" si="50"/>
        <v>-7.5999998953193426E-3</v>
      </c>
    </row>
    <row r="215" spans="1:19" ht="18" customHeight="1">
      <c r="A215" s="5">
        <v>186</v>
      </c>
      <c r="B215" s="5">
        <v>7141</v>
      </c>
      <c r="C215" s="6" t="s">
        <v>471</v>
      </c>
      <c r="D215" s="5">
        <v>11005</v>
      </c>
      <c r="E215" s="7" t="s">
        <v>218</v>
      </c>
      <c r="F215" s="8">
        <v>387757.69999999995</v>
      </c>
      <c r="G215" s="8">
        <v>307.39999999999998</v>
      </c>
      <c r="H215" s="8">
        <f t="shared" si="56"/>
        <v>465309.24</v>
      </c>
      <c r="I215" s="8">
        <f t="shared" si="57"/>
        <v>628167.47399999993</v>
      </c>
      <c r="J215" s="8">
        <v>628167.47399999993</v>
      </c>
      <c r="K215" s="8">
        <v>80000</v>
      </c>
      <c r="L215" s="5">
        <v>17917</v>
      </c>
      <c r="M215" s="5">
        <v>80000</v>
      </c>
      <c r="N215" s="8">
        <v>46077.49</v>
      </c>
      <c r="O215" s="5">
        <v>400000</v>
      </c>
      <c r="P215" s="8">
        <v>271454.56</v>
      </c>
      <c r="Q215" s="8">
        <f t="shared" si="58"/>
        <v>53.401212874641772</v>
      </c>
      <c r="R215" s="5">
        <v>68167</v>
      </c>
      <c r="S215" s="8">
        <f t="shared" si="50"/>
        <v>-0.47399999992921948</v>
      </c>
    </row>
    <row r="216" spans="1:19" ht="18" customHeight="1">
      <c r="A216" s="5">
        <v>187</v>
      </c>
      <c r="B216" s="5">
        <v>6163</v>
      </c>
      <c r="C216" s="6" t="s">
        <v>472</v>
      </c>
      <c r="D216" s="5">
        <v>11011</v>
      </c>
      <c r="E216" s="7" t="s">
        <v>219</v>
      </c>
      <c r="F216" s="8">
        <v>438976.31999999995</v>
      </c>
      <c r="G216" s="8">
        <v>356.32</v>
      </c>
      <c r="H216" s="8">
        <f t="shared" si="56"/>
        <v>526771.58400000003</v>
      </c>
      <c r="I216" s="8">
        <f t="shared" si="57"/>
        <v>711141.63840000005</v>
      </c>
      <c r="J216" s="8">
        <v>711141.63840000005</v>
      </c>
      <c r="K216" s="8">
        <v>40000</v>
      </c>
      <c r="L216" s="5">
        <v>15556</v>
      </c>
      <c r="M216" s="5">
        <v>60000</v>
      </c>
      <c r="N216" s="8">
        <v>60697.98</v>
      </c>
      <c r="O216" s="5">
        <v>600000</v>
      </c>
      <c r="P216" s="8">
        <v>245555.46</v>
      </c>
      <c r="Q216" s="8">
        <f t="shared" si="58"/>
        <v>45.252509855004433</v>
      </c>
      <c r="R216" s="5">
        <v>11142</v>
      </c>
      <c r="S216" s="8">
        <f t="shared" si="50"/>
        <v>0.36159999994561076</v>
      </c>
    </row>
    <row r="217" spans="1:19" ht="18" customHeight="1">
      <c r="A217" s="5">
        <v>188</v>
      </c>
      <c r="B217" s="5">
        <v>2989</v>
      </c>
      <c r="C217" s="6" t="s">
        <v>473</v>
      </c>
      <c r="D217" s="5">
        <v>13237</v>
      </c>
      <c r="E217" s="7" t="s">
        <v>220</v>
      </c>
      <c r="F217" s="8">
        <v>169265.19</v>
      </c>
      <c r="G217" s="8">
        <v>135.05000000000001</v>
      </c>
      <c r="H217" s="8">
        <f t="shared" si="56"/>
        <v>203118.228</v>
      </c>
      <c r="I217" s="8">
        <f t="shared" si="57"/>
        <v>274209.6078</v>
      </c>
      <c r="J217" s="37">
        <v>310000</v>
      </c>
      <c r="K217" s="8">
        <v>40000</v>
      </c>
      <c r="L217" s="5">
        <v>4887</v>
      </c>
      <c r="M217" s="8">
        <v>100000</v>
      </c>
      <c r="N217" s="8">
        <v>56277.4</v>
      </c>
      <c r="O217" s="5">
        <v>156000</v>
      </c>
      <c r="P217" s="8">
        <v>210813.98</v>
      </c>
      <c r="Q217" s="8">
        <f t="shared" si="58"/>
        <v>87.734961290322588</v>
      </c>
      <c r="R217" s="5">
        <v>14000</v>
      </c>
      <c r="S217" s="8">
        <f t="shared" si="50"/>
        <v>0</v>
      </c>
    </row>
    <row r="218" spans="1:19" ht="18" customHeight="1">
      <c r="A218" s="5">
        <v>189</v>
      </c>
      <c r="B218" s="5">
        <v>7733</v>
      </c>
      <c r="C218" s="6" t="s">
        <v>474</v>
      </c>
      <c r="D218" s="5">
        <v>14630</v>
      </c>
      <c r="E218" s="7" t="s">
        <v>221</v>
      </c>
      <c r="F218" s="8">
        <v>335752.12</v>
      </c>
      <c r="G218" s="8">
        <v>299.7</v>
      </c>
      <c r="H218" s="8">
        <f t="shared" si="56"/>
        <v>402902.54399999999</v>
      </c>
      <c r="I218" s="8">
        <f t="shared" si="57"/>
        <v>543918.43439999991</v>
      </c>
      <c r="J218" s="8">
        <v>543918.43439999991</v>
      </c>
      <c r="K218" s="8">
        <v>35000</v>
      </c>
      <c r="L218" s="5">
        <v>9289</v>
      </c>
      <c r="M218" s="5">
        <v>35000</v>
      </c>
      <c r="N218" s="8">
        <v>9437.7999999999993</v>
      </c>
      <c r="O218" s="5">
        <v>400000</v>
      </c>
      <c r="P218" s="8">
        <v>319831.99</v>
      </c>
      <c r="Q218" s="8">
        <f t="shared" si="58"/>
        <v>62.244404415795621</v>
      </c>
      <c r="R218" s="5">
        <v>73918</v>
      </c>
      <c r="S218" s="8">
        <f t="shared" si="50"/>
        <v>-0.43439999991096556</v>
      </c>
    </row>
    <row r="219" spans="1:19" ht="18" customHeight="1">
      <c r="A219" s="10" t="s">
        <v>12</v>
      </c>
      <c r="B219" s="11"/>
      <c r="C219" s="12"/>
      <c r="D219" s="11" t="s">
        <v>12</v>
      </c>
      <c r="E219" s="13" t="s">
        <v>222</v>
      </c>
      <c r="F219" s="14">
        <f>SUM(F212:F218)</f>
        <v>2524899.56</v>
      </c>
      <c r="G219" s="14">
        <v>279.37</v>
      </c>
      <c r="H219" s="14">
        <f t="shared" si="56"/>
        <v>3029879.4720000001</v>
      </c>
      <c r="I219" s="14">
        <f t="shared" si="57"/>
        <v>4090337.2872000001</v>
      </c>
      <c r="J219" s="14">
        <f>SUM(J212:J218)</f>
        <v>4126127.6793999998</v>
      </c>
      <c r="K219" s="14">
        <f t="shared" ref="K219:S219" si="62">SUM(K212:K218)</f>
        <v>230485</v>
      </c>
      <c r="L219" s="14">
        <f t="shared" si="62"/>
        <v>53999</v>
      </c>
      <c r="M219" s="14">
        <f t="shared" si="62"/>
        <v>800000</v>
      </c>
      <c r="N219" s="14">
        <f t="shared" si="62"/>
        <v>663879.47000000009</v>
      </c>
      <c r="O219" s="14">
        <f t="shared" si="62"/>
        <v>2838415</v>
      </c>
      <c r="P219" s="14">
        <f t="shared" si="62"/>
        <v>1533696.65</v>
      </c>
      <c r="Q219" s="14">
        <f t="shared" si="58"/>
        <v>54.568721448954591</v>
      </c>
      <c r="R219" s="14">
        <f t="shared" si="62"/>
        <v>257227</v>
      </c>
      <c r="S219" s="14">
        <f t="shared" si="62"/>
        <v>-0.67939999967347831</v>
      </c>
    </row>
    <row r="220" spans="1:19" ht="18" customHeight="1">
      <c r="A220" s="5">
        <v>190</v>
      </c>
      <c r="B220" s="5">
        <v>5989</v>
      </c>
      <c r="C220" s="6" t="s">
        <v>475</v>
      </c>
      <c r="D220" s="5">
        <v>12549</v>
      </c>
      <c r="E220" s="7" t="s">
        <v>223</v>
      </c>
      <c r="F220" s="8">
        <v>400716</v>
      </c>
      <c r="G220" s="8">
        <v>290.41000000000003</v>
      </c>
      <c r="H220" s="8">
        <f t="shared" si="56"/>
        <v>480859.19999999995</v>
      </c>
      <c r="I220" s="8">
        <f t="shared" si="57"/>
        <v>649159.91999999993</v>
      </c>
      <c r="J220" s="8">
        <f t="shared" ref="J220:J227" si="63">+I220</f>
        <v>649159.91999999993</v>
      </c>
      <c r="K220" s="8">
        <v>20000</v>
      </c>
      <c r="L220" s="5">
        <v>3790</v>
      </c>
      <c r="M220" s="8">
        <v>20000</v>
      </c>
      <c r="N220" s="8">
        <v>0</v>
      </c>
      <c r="O220" s="8">
        <v>550000</v>
      </c>
      <c r="P220" s="8">
        <v>360545.18</v>
      </c>
      <c r="Q220" s="8">
        <f t="shared" si="58"/>
        <v>56.124102671033668</v>
      </c>
      <c r="R220" s="8">
        <v>60000</v>
      </c>
      <c r="S220" s="8">
        <f t="shared" si="50"/>
        <v>840.08000000007451</v>
      </c>
    </row>
    <row r="221" spans="1:19" ht="18" customHeight="1">
      <c r="A221" s="5">
        <v>191</v>
      </c>
      <c r="B221" s="5">
        <v>7035</v>
      </c>
      <c r="C221" s="6" t="s">
        <v>367</v>
      </c>
      <c r="D221" s="5">
        <v>11112</v>
      </c>
      <c r="E221" s="7" t="s">
        <v>224</v>
      </c>
      <c r="F221" s="8">
        <v>346696.11</v>
      </c>
      <c r="G221" s="8">
        <v>321.08</v>
      </c>
      <c r="H221" s="8">
        <f t="shared" si="56"/>
        <v>416035.33199999994</v>
      </c>
      <c r="I221" s="8">
        <f t="shared" si="57"/>
        <v>561647.69819999987</v>
      </c>
      <c r="J221" s="8">
        <f t="shared" si="63"/>
        <v>561647.69819999987</v>
      </c>
      <c r="K221" s="8">
        <v>50000</v>
      </c>
      <c r="L221" s="5">
        <v>15701</v>
      </c>
      <c r="M221" s="8">
        <v>50000</v>
      </c>
      <c r="N221" s="8">
        <v>15836.57</v>
      </c>
      <c r="O221" s="8">
        <v>400000</v>
      </c>
      <c r="P221" s="8">
        <v>314481.48</v>
      </c>
      <c r="Q221" s="8">
        <f t="shared" si="58"/>
        <v>61.607846183460083</v>
      </c>
      <c r="R221" s="8">
        <v>61648</v>
      </c>
      <c r="S221" s="8">
        <f t="shared" si="50"/>
        <v>0.30180000013206154</v>
      </c>
    </row>
    <row r="222" spans="1:19" ht="18" customHeight="1">
      <c r="A222" s="5">
        <v>192</v>
      </c>
      <c r="B222" s="5">
        <v>3732</v>
      </c>
      <c r="C222" s="6" t="s">
        <v>476</v>
      </c>
      <c r="D222" s="5">
        <v>11009</v>
      </c>
      <c r="E222" s="7" t="s">
        <v>225</v>
      </c>
      <c r="F222" s="8">
        <v>330167.74</v>
      </c>
      <c r="G222" s="8">
        <v>306.92</v>
      </c>
      <c r="H222" s="8">
        <f t="shared" si="56"/>
        <v>396201.28799999994</v>
      </c>
      <c r="I222" s="8">
        <f t="shared" si="57"/>
        <v>534871.73879999993</v>
      </c>
      <c r="J222" s="8">
        <f t="shared" si="63"/>
        <v>534871.73879999993</v>
      </c>
      <c r="K222" s="8">
        <v>50000</v>
      </c>
      <c r="L222" s="5">
        <v>15270</v>
      </c>
      <c r="M222" s="8">
        <v>50000</v>
      </c>
      <c r="N222" s="8">
        <v>28182.02</v>
      </c>
      <c r="O222" s="8">
        <v>380000</v>
      </c>
      <c r="P222" s="8">
        <v>252546.44</v>
      </c>
      <c r="Q222" s="8">
        <f t="shared" si="58"/>
        <v>55.340082215613236</v>
      </c>
      <c r="R222" s="8">
        <v>54872</v>
      </c>
      <c r="S222" s="8">
        <f t="shared" si="50"/>
        <v>0.26120000006631017</v>
      </c>
    </row>
    <row r="223" spans="1:19" ht="18" customHeight="1">
      <c r="A223" s="5">
        <v>193</v>
      </c>
      <c r="B223" s="5">
        <v>8290</v>
      </c>
      <c r="C223" s="6" t="s">
        <v>477</v>
      </c>
      <c r="D223" s="5">
        <v>11004</v>
      </c>
      <c r="E223" s="7" t="s">
        <v>226</v>
      </c>
      <c r="F223" s="8">
        <v>204086.76</v>
      </c>
      <c r="G223" s="8">
        <v>225.41</v>
      </c>
      <c r="H223" s="8">
        <f t="shared" si="56"/>
        <v>244904.11199999999</v>
      </c>
      <c r="I223" s="8">
        <f t="shared" si="57"/>
        <v>330620.55119999999</v>
      </c>
      <c r="J223" s="8">
        <f t="shared" si="63"/>
        <v>330620.55119999999</v>
      </c>
      <c r="K223" s="8">
        <v>14000</v>
      </c>
      <c r="L223" s="5">
        <v>4340</v>
      </c>
      <c r="M223" s="8">
        <v>35000</v>
      </c>
      <c r="N223" s="8">
        <v>46209.97</v>
      </c>
      <c r="O223" s="8">
        <v>272000</v>
      </c>
      <c r="P223" s="8">
        <v>86753.32</v>
      </c>
      <c r="Q223" s="8">
        <f t="shared" si="58"/>
        <v>41.528964095441872</v>
      </c>
      <c r="R223" s="8">
        <v>10000</v>
      </c>
      <c r="S223" s="8">
        <f t="shared" si="50"/>
        <v>379.44880000001285</v>
      </c>
    </row>
    <row r="224" spans="1:19" ht="18" customHeight="1">
      <c r="A224" s="5">
        <v>194</v>
      </c>
      <c r="B224" s="5">
        <v>1440</v>
      </c>
      <c r="C224" s="6" t="s">
        <v>478</v>
      </c>
      <c r="D224" s="5">
        <v>11010</v>
      </c>
      <c r="E224" s="7" t="s">
        <v>227</v>
      </c>
      <c r="F224" s="8">
        <v>370258.26999999996</v>
      </c>
      <c r="G224" s="8">
        <v>348.24</v>
      </c>
      <c r="H224" s="8">
        <f t="shared" si="56"/>
        <v>444309.924</v>
      </c>
      <c r="I224" s="8">
        <f t="shared" si="57"/>
        <v>599818.39740000002</v>
      </c>
      <c r="J224" s="8">
        <f t="shared" si="63"/>
        <v>599818.39740000002</v>
      </c>
      <c r="K224" s="8">
        <v>20000</v>
      </c>
      <c r="L224" s="5">
        <v>16737</v>
      </c>
      <c r="M224" s="8">
        <v>39818</v>
      </c>
      <c r="N224" s="8">
        <v>31804.47</v>
      </c>
      <c r="O224" s="8">
        <v>530000</v>
      </c>
      <c r="P224" s="8">
        <v>334344.74</v>
      </c>
      <c r="Q224" s="8">
        <f t="shared" si="58"/>
        <v>63.833688939798421</v>
      </c>
      <c r="R224" s="8">
        <v>10000</v>
      </c>
      <c r="S224" s="8">
        <f t="shared" si="50"/>
        <v>-0.39740000001620501</v>
      </c>
    </row>
    <row r="225" spans="1:19" ht="18" customHeight="1">
      <c r="A225" s="5">
        <v>195</v>
      </c>
      <c r="B225" s="5">
        <v>6380</v>
      </c>
      <c r="C225" s="6" t="s">
        <v>479</v>
      </c>
      <c r="D225" s="5">
        <v>13175</v>
      </c>
      <c r="E225" s="7" t="s">
        <v>228</v>
      </c>
      <c r="F225" s="8">
        <v>360720.49</v>
      </c>
      <c r="G225" s="8">
        <v>372.11</v>
      </c>
      <c r="H225" s="8">
        <f t="shared" si="56"/>
        <v>432864.58799999999</v>
      </c>
      <c r="I225" s="8">
        <f t="shared" si="57"/>
        <v>584367.19380000001</v>
      </c>
      <c r="J225" s="8">
        <f t="shared" si="63"/>
        <v>584367.19380000001</v>
      </c>
      <c r="K225" s="8">
        <v>45000</v>
      </c>
      <c r="L225" s="5">
        <v>3988</v>
      </c>
      <c r="M225" s="8">
        <v>65000</v>
      </c>
      <c r="N225" s="8">
        <v>35614.18</v>
      </c>
      <c r="O225" s="8">
        <v>450000</v>
      </c>
      <c r="P225" s="8">
        <v>204937.77</v>
      </c>
      <c r="Q225" s="8">
        <f t="shared" si="58"/>
        <v>41.84696755644601</v>
      </c>
      <c r="R225" s="8">
        <v>24367</v>
      </c>
      <c r="S225" s="8">
        <f t="shared" si="50"/>
        <v>-0.19380000000819564</v>
      </c>
    </row>
    <row r="226" spans="1:19" ht="18" customHeight="1">
      <c r="A226" s="5">
        <v>196</v>
      </c>
      <c r="B226" s="5">
        <v>6956</v>
      </c>
      <c r="C226" s="6" t="s">
        <v>480</v>
      </c>
      <c r="D226" s="5">
        <v>11116</v>
      </c>
      <c r="E226" s="7" t="s">
        <v>229</v>
      </c>
      <c r="F226" s="8">
        <v>323331.53000000003</v>
      </c>
      <c r="G226" s="8">
        <v>314.33</v>
      </c>
      <c r="H226" s="8">
        <f t="shared" si="56"/>
        <v>387997.83600000001</v>
      </c>
      <c r="I226" s="8">
        <f t="shared" si="57"/>
        <v>523797.07860000001</v>
      </c>
      <c r="J226" s="8">
        <f t="shared" si="63"/>
        <v>523797.07860000001</v>
      </c>
      <c r="K226" s="8">
        <v>30000</v>
      </c>
      <c r="L226" s="5">
        <v>9923</v>
      </c>
      <c r="M226" s="8">
        <v>30000</v>
      </c>
      <c r="N226" s="8">
        <v>19408.71</v>
      </c>
      <c r="O226" s="8">
        <v>440000</v>
      </c>
      <c r="P226" s="8">
        <v>233627.32</v>
      </c>
      <c r="Q226" s="8">
        <f t="shared" si="58"/>
        <v>50.20246212575956</v>
      </c>
      <c r="R226" s="8">
        <v>24000</v>
      </c>
      <c r="S226" s="8">
        <f t="shared" si="50"/>
        <v>202.92139999999199</v>
      </c>
    </row>
    <row r="227" spans="1:19" ht="18" customHeight="1">
      <c r="A227" s="5">
        <v>197</v>
      </c>
      <c r="B227" s="5">
        <v>8403</v>
      </c>
      <c r="C227" s="6" t="s">
        <v>298</v>
      </c>
      <c r="D227" s="5">
        <v>14641</v>
      </c>
      <c r="E227" s="7" t="s">
        <v>230</v>
      </c>
      <c r="F227" s="8">
        <v>255570.96000000002</v>
      </c>
      <c r="G227" s="8">
        <v>239.15</v>
      </c>
      <c r="H227" s="8">
        <f t="shared" si="56"/>
        <v>306685.152</v>
      </c>
      <c r="I227" s="8">
        <f t="shared" si="57"/>
        <v>414024.95519999997</v>
      </c>
      <c r="J227" s="8">
        <f t="shared" si="63"/>
        <v>414024.95519999997</v>
      </c>
      <c r="K227" s="8">
        <v>34025</v>
      </c>
      <c r="L227" s="5">
        <v>13044</v>
      </c>
      <c r="M227" s="8">
        <v>50000</v>
      </c>
      <c r="N227" s="8">
        <v>32998.53</v>
      </c>
      <c r="O227" s="8">
        <v>250000</v>
      </c>
      <c r="P227" s="8">
        <v>130452.81</v>
      </c>
      <c r="Q227" s="8">
        <f t="shared" si="58"/>
        <v>42.629155026353835</v>
      </c>
      <c r="R227" s="8">
        <v>80000</v>
      </c>
      <c r="S227" s="8">
        <f t="shared" si="50"/>
        <v>4.4800000032410026E-2</v>
      </c>
    </row>
    <row r="228" spans="1:19" ht="18" customHeight="1">
      <c r="A228" s="10" t="s">
        <v>12</v>
      </c>
      <c r="B228" s="11"/>
      <c r="C228" s="12"/>
      <c r="D228" s="11" t="s">
        <v>12</v>
      </c>
      <c r="E228" s="13" t="s">
        <v>231</v>
      </c>
      <c r="F228" s="14">
        <f>SUM(F220:F227)</f>
        <v>2591547.8600000003</v>
      </c>
      <c r="G228" s="14">
        <v>302.86</v>
      </c>
      <c r="H228" s="14">
        <f t="shared" si="56"/>
        <v>3109857.432</v>
      </c>
      <c r="I228" s="14">
        <f t="shared" si="57"/>
        <v>4198307.5331999995</v>
      </c>
      <c r="J228" s="14">
        <f>SUM(J220:J227)</f>
        <v>4198307.5332000004</v>
      </c>
      <c r="K228" s="14">
        <f t="shared" ref="K228:S228" si="64">SUM(K220:K227)</f>
        <v>263025</v>
      </c>
      <c r="L228" s="14">
        <f t="shared" si="64"/>
        <v>82793</v>
      </c>
      <c r="M228" s="14">
        <f t="shared" si="64"/>
        <v>339818</v>
      </c>
      <c r="N228" s="14">
        <f t="shared" si="64"/>
        <v>210054.44999999998</v>
      </c>
      <c r="O228" s="14">
        <f t="shared" si="64"/>
        <v>3272000</v>
      </c>
      <c r="P228" s="14">
        <f t="shared" si="64"/>
        <v>1917689.06</v>
      </c>
      <c r="Q228" s="14">
        <f t="shared" si="58"/>
        <v>52.653039171599289</v>
      </c>
      <c r="R228" s="14">
        <f t="shared" si="64"/>
        <v>324887</v>
      </c>
      <c r="S228" s="14">
        <f t="shared" si="64"/>
        <v>1422.4668000002857</v>
      </c>
    </row>
    <row r="229" spans="1:19" ht="18" customHeight="1">
      <c r="A229" s="16" t="s">
        <v>12</v>
      </c>
      <c r="B229" s="16"/>
      <c r="C229" s="17"/>
      <c r="D229" s="16" t="s">
        <v>12</v>
      </c>
      <c r="E229" s="18" t="s">
        <v>232</v>
      </c>
      <c r="F229" s="19">
        <f>F228+F219+F211+F202+F193+F184</f>
        <v>15451968.51</v>
      </c>
      <c r="G229" s="19">
        <v>259.17</v>
      </c>
      <c r="H229" s="19">
        <f t="shared" si="56"/>
        <v>18542362.212000001</v>
      </c>
      <c r="I229" s="19">
        <f t="shared" si="57"/>
        <v>25032188.986200001</v>
      </c>
      <c r="J229" s="19">
        <f>J228+J219+J211+J202+J193+J184</f>
        <v>25452998.574599996</v>
      </c>
      <c r="K229" s="19">
        <f t="shared" ref="K229:S229" si="65">K228+K219+K211+K202+K193+K184</f>
        <v>6427830</v>
      </c>
      <c r="L229" s="19">
        <f t="shared" si="65"/>
        <v>3119933</v>
      </c>
      <c r="M229" s="19">
        <f t="shared" si="65"/>
        <v>3479818</v>
      </c>
      <c r="N229" s="19">
        <f t="shared" si="65"/>
        <v>2312289.65</v>
      </c>
      <c r="O229" s="19">
        <f t="shared" si="65"/>
        <v>13753026</v>
      </c>
      <c r="P229" s="19">
        <f t="shared" si="65"/>
        <v>8338603.209999999</v>
      </c>
      <c r="Q229" s="19">
        <f t="shared" si="58"/>
        <v>54.102960873702926</v>
      </c>
      <c r="R229" s="19">
        <f t="shared" si="65"/>
        <v>1795301</v>
      </c>
      <c r="S229" s="19">
        <f t="shared" si="65"/>
        <v>2976.4254000011715</v>
      </c>
    </row>
    <row r="230" spans="1:19" ht="18" customHeight="1">
      <c r="A230" s="5">
        <v>198</v>
      </c>
      <c r="B230" s="5">
        <v>5615</v>
      </c>
      <c r="C230" s="6" t="s">
        <v>481</v>
      </c>
      <c r="D230" s="5">
        <v>11070</v>
      </c>
      <c r="E230" s="7" t="s">
        <v>233</v>
      </c>
      <c r="F230" s="8">
        <v>488835.03</v>
      </c>
      <c r="G230" s="8">
        <v>260.5</v>
      </c>
      <c r="H230" s="8">
        <f t="shared" si="56"/>
        <v>586602.03600000008</v>
      </c>
      <c r="I230" s="8">
        <f t="shared" si="57"/>
        <v>791912.74860000005</v>
      </c>
      <c r="J230" s="8">
        <f t="shared" ref="J230:J231" si="66">+I230</f>
        <v>791912.74860000005</v>
      </c>
      <c r="K230" s="8">
        <v>110000</v>
      </c>
      <c r="L230" s="5">
        <v>26130</v>
      </c>
      <c r="M230" s="8">
        <v>200000</v>
      </c>
      <c r="N230" s="8">
        <v>25477.97</v>
      </c>
      <c r="O230" s="8">
        <v>400013</v>
      </c>
      <c r="P230" s="8">
        <v>266885.90000000002</v>
      </c>
      <c r="Q230" s="8">
        <f t="shared" si="58"/>
        <v>40.218303160677266</v>
      </c>
      <c r="R230" s="8">
        <v>81900</v>
      </c>
      <c r="S230" s="8">
        <f t="shared" ref="S230:S287" si="67">(K230+M230+O230+R230)-J230</f>
        <v>0.25139999995008111</v>
      </c>
    </row>
    <row r="231" spans="1:19" ht="18" customHeight="1">
      <c r="A231" s="5">
        <v>199</v>
      </c>
      <c r="B231" s="5">
        <v>8735</v>
      </c>
      <c r="C231" s="6" t="s">
        <v>482</v>
      </c>
      <c r="D231" s="5">
        <v>11065</v>
      </c>
      <c r="E231" s="7" t="s">
        <v>234</v>
      </c>
      <c r="F231" s="8">
        <v>481394.43000000005</v>
      </c>
      <c r="G231" s="8">
        <v>249.77</v>
      </c>
      <c r="H231" s="8">
        <f t="shared" si="56"/>
        <v>577673.31600000011</v>
      </c>
      <c r="I231" s="8">
        <f t="shared" si="57"/>
        <v>779858.97660000017</v>
      </c>
      <c r="J231" s="8">
        <f t="shared" si="66"/>
        <v>779858.97660000017</v>
      </c>
      <c r="K231" s="8">
        <v>150000</v>
      </c>
      <c r="L231" s="5">
        <v>10903</v>
      </c>
      <c r="M231" s="8">
        <v>250000</v>
      </c>
      <c r="N231" s="8">
        <v>41817.17</v>
      </c>
      <c r="O231" s="8">
        <v>200000</v>
      </c>
      <c r="P231" s="8">
        <v>446613.43</v>
      </c>
      <c r="Q231" s="8">
        <f t="shared" si="58"/>
        <v>64.028704545657192</v>
      </c>
      <c r="R231" s="8">
        <v>179859</v>
      </c>
      <c r="S231" s="8">
        <f t="shared" si="67"/>
        <v>2.339999983087182E-2</v>
      </c>
    </row>
    <row r="232" spans="1:19" ht="18" customHeight="1">
      <c r="A232" s="5">
        <v>200</v>
      </c>
      <c r="B232" s="5">
        <v>5973</v>
      </c>
      <c r="C232" s="6" t="s">
        <v>483</v>
      </c>
      <c r="D232" s="5">
        <v>11068</v>
      </c>
      <c r="E232" s="7" t="s">
        <v>235</v>
      </c>
      <c r="F232" s="8">
        <v>381428.47999999998</v>
      </c>
      <c r="G232" s="8">
        <v>191.84</v>
      </c>
      <c r="H232" s="8">
        <f t="shared" si="56"/>
        <v>457714.17599999998</v>
      </c>
      <c r="I232" s="8">
        <f t="shared" si="57"/>
        <v>617914.13760000002</v>
      </c>
      <c r="J232" s="5">
        <v>686571</v>
      </c>
      <c r="K232" s="5">
        <v>200000</v>
      </c>
      <c r="L232" s="5">
        <v>159710</v>
      </c>
      <c r="M232" s="5">
        <v>200000</v>
      </c>
      <c r="N232" s="8">
        <v>16601.48</v>
      </c>
      <c r="O232" s="5">
        <v>150571</v>
      </c>
      <c r="P232" s="8">
        <v>47404.38</v>
      </c>
      <c r="Q232" s="8">
        <f t="shared" si="58"/>
        <v>32.584519299533476</v>
      </c>
      <c r="R232" s="5">
        <v>136000</v>
      </c>
      <c r="S232" s="8">
        <f t="shared" si="67"/>
        <v>0</v>
      </c>
    </row>
    <row r="233" spans="1:19" ht="18" customHeight="1">
      <c r="A233" s="5">
        <v>201</v>
      </c>
      <c r="B233" s="5">
        <v>2265</v>
      </c>
      <c r="C233" s="6" t="s">
        <v>484</v>
      </c>
      <c r="D233" s="5">
        <v>11069</v>
      </c>
      <c r="E233" s="7" t="s">
        <v>236</v>
      </c>
      <c r="F233" s="8">
        <v>300694.8</v>
      </c>
      <c r="G233" s="8">
        <v>244.38</v>
      </c>
      <c r="H233" s="8">
        <f t="shared" si="56"/>
        <v>360833.76</v>
      </c>
      <c r="I233" s="8">
        <f t="shared" si="57"/>
        <v>487125.576</v>
      </c>
      <c r="J233" s="8">
        <f t="shared" ref="J233:J236" si="68">+I233</f>
        <v>487125.576</v>
      </c>
      <c r="K233" s="8">
        <v>0</v>
      </c>
      <c r="L233" s="5">
        <v>0</v>
      </c>
      <c r="M233" s="8">
        <v>400000</v>
      </c>
      <c r="N233" s="8">
        <v>213283.58</v>
      </c>
      <c r="O233" s="8">
        <v>0</v>
      </c>
      <c r="P233" s="8">
        <v>-494.75</v>
      </c>
      <c r="Q233" s="8">
        <f t="shared" si="58"/>
        <v>43.682541111329371</v>
      </c>
      <c r="R233" s="8">
        <v>87126</v>
      </c>
      <c r="S233" s="8">
        <f t="shared" si="67"/>
        <v>0.42399999999906868</v>
      </c>
    </row>
    <row r="234" spans="1:19" ht="18" customHeight="1">
      <c r="A234" s="5">
        <v>202</v>
      </c>
      <c r="B234" s="5">
        <v>5333</v>
      </c>
      <c r="C234" s="6" t="s">
        <v>485</v>
      </c>
      <c r="D234" s="5">
        <v>12554</v>
      </c>
      <c r="E234" s="7" t="s">
        <v>237</v>
      </c>
      <c r="F234" s="8">
        <v>485536.19</v>
      </c>
      <c r="G234" s="8">
        <v>249.74</v>
      </c>
      <c r="H234" s="8">
        <f t="shared" si="56"/>
        <v>582643.42799999996</v>
      </c>
      <c r="I234" s="8">
        <f t="shared" si="57"/>
        <v>786568.6277999999</v>
      </c>
      <c r="J234" s="8">
        <f t="shared" si="68"/>
        <v>786568.6277999999</v>
      </c>
      <c r="K234" s="8">
        <v>126569</v>
      </c>
      <c r="L234" s="5">
        <v>70444</v>
      </c>
      <c r="M234" s="8">
        <v>50000</v>
      </c>
      <c r="N234" s="8">
        <v>45978.73</v>
      </c>
      <c r="O234" s="8">
        <v>350000</v>
      </c>
      <c r="P234" s="8">
        <v>112325.78</v>
      </c>
      <c r="Q234" s="8">
        <f t="shared" si="58"/>
        <v>29.081824765856755</v>
      </c>
      <c r="R234" s="8">
        <v>260000</v>
      </c>
      <c r="S234" s="8">
        <f t="shared" si="67"/>
        <v>0.37220000009983778</v>
      </c>
    </row>
    <row r="235" spans="1:19" ht="18" customHeight="1">
      <c r="A235" s="5">
        <v>203</v>
      </c>
      <c r="B235" s="5">
        <v>6936</v>
      </c>
      <c r="C235" s="6" t="s">
        <v>311</v>
      </c>
      <c r="D235" s="5">
        <v>13060</v>
      </c>
      <c r="E235" s="7" t="s">
        <v>238</v>
      </c>
      <c r="F235" s="8">
        <v>456303.61</v>
      </c>
      <c r="G235" s="8">
        <v>238.5</v>
      </c>
      <c r="H235" s="8">
        <f t="shared" si="56"/>
        <v>547564.33199999994</v>
      </c>
      <c r="I235" s="8">
        <f t="shared" si="57"/>
        <v>739211.84819999989</v>
      </c>
      <c r="J235" s="8">
        <f t="shared" si="68"/>
        <v>739211.84819999989</v>
      </c>
      <c r="K235" s="8">
        <v>200000</v>
      </c>
      <c r="L235" s="5">
        <v>85644</v>
      </c>
      <c r="M235" s="8">
        <v>200000</v>
      </c>
      <c r="N235" s="8">
        <v>113999.71</v>
      </c>
      <c r="O235" s="8">
        <v>300000</v>
      </c>
      <c r="P235" s="8">
        <v>239295.25</v>
      </c>
      <c r="Q235" s="8">
        <f t="shared" si="58"/>
        <v>59.379318806757198</v>
      </c>
      <c r="R235" s="8">
        <v>39212</v>
      </c>
      <c r="S235" s="8">
        <f t="shared" si="67"/>
        <v>0.15180000010877848</v>
      </c>
    </row>
    <row r="236" spans="1:19" ht="18" customHeight="1">
      <c r="A236" s="5">
        <v>204</v>
      </c>
      <c r="B236" s="5">
        <v>8780</v>
      </c>
      <c r="C236" s="26" t="s">
        <v>530</v>
      </c>
      <c r="D236" s="5">
        <v>14539</v>
      </c>
      <c r="E236" s="7" t="s">
        <v>239</v>
      </c>
      <c r="F236" s="8">
        <v>291887.37</v>
      </c>
      <c r="G236" s="8">
        <v>251.03</v>
      </c>
      <c r="H236" s="8">
        <f t="shared" si="56"/>
        <v>350264.84400000004</v>
      </c>
      <c r="I236" s="8">
        <f t="shared" si="57"/>
        <v>472857.53940000007</v>
      </c>
      <c r="J236" s="8">
        <f t="shared" si="68"/>
        <v>472857.53940000007</v>
      </c>
      <c r="K236" s="8">
        <v>0</v>
      </c>
      <c r="L236" s="5">
        <v>0</v>
      </c>
      <c r="M236" s="8">
        <v>400000</v>
      </c>
      <c r="N236" s="8">
        <v>186687.5</v>
      </c>
      <c r="O236" s="8">
        <v>0</v>
      </c>
      <c r="P236" s="8">
        <v>-1206.9000000000001</v>
      </c>
      <c r="Q236" s="8">
        <f t="shared" si="58"/>
        <v>39.22547163683862</v>
      </c>
      <c r="R236" s="8">
        <v>72858</v>
      </c>
      <c r="S236" s="8">
        <f t="shared" si="67"/>
        <v>0.46059999993303791</v>
      </c>
    </row>
    <row r="237" spans="1:19" ht="18" customHeight="1">
      <c r="A237" s="10" t="s">
        <v>12</v>
      </c>
      <c r="B237" s="11"/>
      <c r="C237" s="12"/>
      <c r="D237" s="11" t="s">
        <v>12</v>
      </c>
      <c r="E237" s="13" t="s">
        <v>240</v>
      </c>
      <c r="F237" s="14">
        <f>SUM(F230:F236)</f>
        <v>2886079.91</v>
      </c>
      <c r="G237" s="14">
        <v>239.83</v>
      </c>
      <c r="H237" s="14">
        <f t="shared" si="56"/>
        <v>3463295.8920000005</v>
      </c>
      <c r="I237" s="14">
        <f t="shared" si="57"/>
        <v>4675449.4542000005</v>
      </c>
      <c r="J237" s="14">
        <f>SUM(J230:J236)</f>
        <v>4744106.3166000005</v>
      </c>
      <c r="K237" s="14">
        <f t="shared" ref="K237:S237" si="69">SUM(K230:K236)</f>
        <v>786569</v>
      </c>
      <c r="L237" s="14">
        <f t="shared" si="69"/>
        <v>352831</v>
      </c>
      <c r="M237" s="14">
        <f t="shared" si="69"/>
        <v>1700000</v>
      </c>
      <c r="N237" s="14">
        <f t="shared" si="69"/>
        <v>643846.1399999999</v>
      </c>
      <c r="O237" s="14">
        <f t="shared" si="69"/>
        <v>1400584</v>
      </c>
      <c r="P237" s="14">
        <f t="shared" si="69"/>
        <v>1110823.0900000003</v>
      </c>
      <c r="Q237" s="14">
        <f t="shared" si="58"/>
        <v>44.423545539561196</v>
      </c>
      <c r="R237" s="14">
        <f t="shared" si="69"/>
        <v>856955</v>
      </c>
      <c r="S237" s="14">
        <f t="shared" si="69"/>
        <v>1.6833999999216758</v>
      </c>
    </row>
    <row r="238" spans="1:19" ht="18" customHeight="1">
      <c r="A238" s="5">
        <v>205</v>
      </c>
      <c r="B238" s="5">
        <v>1933</v>
      </c>
      <c r="C238" s="6" t="s">
        <v>486</v>
      </c>
      <c r="D238" s="5">
        <v>11040</v>
      </c>
      <c r="E238" s="7" t="s">
        <v>241</v>
      </c>
      <c r="F238" s="8">
        <v>328028.05</v>
      </c>
      <c r="G238" s="8">
        <v>253.3</v>
      </c>
      <c r="H238" s="8">
        <f t="shared" si="56"/>
        <v>393633.66000000003</v>
      </c>
      <c r="I238" s="8">
        <f t="shared" si="57"/>
        <v>531405.44099999999</v>
      </c>
      <c r="J238" s="8">
        <f t="shared" ref="J238:J245" si="70">+I238</f>
        <v>531405.44099999999</v>
      </c>
      <c r="K238" s="8"/>
      <c r="L238" s="5">
        <v>-2706</v>
      </c>
      <c r="M238" s="8">
        <v>371984</v>
      </c>
      <c r="N238" s="8">
        <v>262234.58</v>
      </c>
      <c r="O238" s="8"/>
      <c r="P238" s="8">
        <v>-3876.3</v>
      </c>
      <c r="Q238" s="8">
        <f t="shared" si="58"/>
        <v>48.108705759375177</v>
      </c>
      <c r="R238" s="8">
        <v>159422</v>
      </c>
      <c r="S238" s="8">
        <f t="shared" si="67"/>
        <v>0.5590000000083819</v>
      </c>
    </row>
    <row r="239" spans="1:19" ht="18" customHeight="1">
      <c r="A239" s="5">
        <v>206</v>
      </c>
      <c r="B239" s="5">
        <v>0</v>
      </c>
      <c r="C239" s="29" t="s">
        <v>307</v>
      </c>
      <c r="D239" s="5">
        <v>11043</v>
      </c>
      <c r="E239" s="7" t="s">
        <v>242</v>
      </c>
      <c r="F239" s="8">
        <v>290050.92000000004</v>
      </c>
      <c r="G239" s="8">
        <v>226.82</v>
      </c>
      <c r="H239" s="8">
        <f t="shared" si="56"/>
        <v>348061.10400000005</v>
      </c>
      <c r="I239" s="8">
        <f t="shared" si="57"/>
        <v>469882.49040000007</v>
      </c>
      <c r="J239" s="8">
        <f t="shared" si="70"/>
        <v>469882.49040000007</v>
      </c>
      <c r="K239" s="8"/>
      <c r="L239" s="5">
        <v>-1897</v>
      </c>
      <c r="M239" s="8">
        <v>328918</v>
      </c>
      <c r="N239" s="8">
        <v>159858.07</v>
      </c>
      <c r="O239" s="8"/>
      <c r="P239" s="8">
        <v>-7100.46</v>
      </c>
      <c r="Q239" s="8">
        <f t="shared" si="58"/>
        <v>32.106029290764987</v>
      </c>
      <c r="R239" s="8">
        <v>140965</v>
      </c>
      <c r="S239" s="8">
        <f t="shared" si="67"/>
        <v>0.50959999993210658</v>
      </c>
    </row>
    <row r="240" spans="1:19" ht="18" customHeight="1">
      <c r="A240" s="5">
        <v>207</v>
      </c>
      <c r="B240" s="5">
        <v>2837</v>
      </c>
      <c r="C240" s="6" t="s">
        <v>487</v>
      </c>
      <c r="D240" s="5">
        <v>11044</v>
      </c>
      <c r="E240" s="7" t="s">
        <v>243</v>
      </c>
      <c r="F240" s="8">
        <v>392425.60000000003</v>
      </c>
      <c r="G240" s="8">
        <v>293.75</v>
      </c>
      <c r="H240" s="8">
        <f t="shared" si="56"/>
        <v>470910.72000000009</v>
      </c>
      <c r="I240" s="8">
        <f t="shared" si="57"/>
        <v>635729.47200000007</v>
      </c>
      <c r="J240" s="8">
        <f t="shared" si="70"/>
        <v>635729.47200000007</v>
      </c>
      <c r="K240" s="8"/>
      <c r="L240" s="5">
        <v>0</v>
      </c>
      <c r="M240" s="8">
        <v>445011</v>
      </c>
      <c r="N240" s="8">
        <v>158773.26</v>
      </c>
      <c r="O240" s="8"/>
      <c r="P240" s="8">
        <v>-2713.64</v>
      </c>
      <c r="Q240" s="8">
        <f t="shared" si="58"/>
        <v>24.548117850984259</v>
      </c>
      <c r="R240" s="8">
        <v>190719</v>
      </c>
      <c r="S240" s="8">
        <f t="shared" si="67"/>
        <v>0.52799999993294477</v>
      </c>
    </row>
    <row r="241" spans="1:19" ht="18" customHeight="1">
      <c r="A241" s="5">
        <v>208</v>
      </c>
      <c r="B241" s="5">
        <v>2106</v>
      </c>
      <c r="C241" s="6" t="s">
        <v>488</v>
      </c>
      <c r="D241" s="5">
        <v>11045</v>
      </c>
      <c r="E241" s="7" t="s">
        <v>244</v>
      </c>
      <c r="F241" s="8">
        <v>332048.2</v>
      </c>
      <c r="G241" s="8">
        <v>258.17</v>
      </c>
      <c r="H241" s="8">
        <f t="shared" si="56"/>
        <v>398457.83999999997</v>
      </c>
      <c r="I241" s="8">
        <f t="shared" si="57"/>
        <v>537918.08399999992</v>
      </c>
      <c r="J241" s="8">
        <f t="shared" si="70"/>
        <v>537918.08399999992</v>
      </c>
      <c r="K241" s="8"/>
      <c r="L241" s="5">
        <v>0</v>
      </c>
      <c r="M241" s="8">
        <v>376543</v>
      </c>
      <c r="N241" s="8">
        <v>165652.65</v>
      </c>
      <c r="O241" s="8"/>
      <c r="P241" s="8">
        <v>-2477.5100000000002</v>
      </c>
      <c r="Q241" s="8">
        <f t="shared" si="58"/>
        <v>30.33457042132088</v>
      </c>
      <c r="R241" s="8">
        <v>161375</v>
      </c>
      <c r="S241" s="8">
        <f t="shared" si="67"/>
        <v>-8.3999999915249646E-2</v>
      </c>
    </row>
    <row r="242" spans="1:19" ht="18" customHeight="1">
      <c r="A242" s="5">
        <v>209</v>
      </c>
      <c r="B242" s="5">
        <v>7233</v>
      </c>
      <c r="C242" s="6" t="s">
        <v>489</v>
      </c>
      <c r="D242" s="5">
        <v>12292</v>
      </c>
      <c r="E242" s="7" t="s">
        <v>245</v>
      </c>
      <c r="F242" s="8">
        <v>332658.08</v>
      </c>
      <c r="G242" s="8">
        <v>270.27</v>
      </c>
      <c r="H242" s="8">
        <f t="shared" si="56"/>
        <v>399189.69600000005</v>
      </c>
      <c r="I242" s="8">
        <f t="shared" si="57"/>
        <v>538906.08960000006</v>
      </c>
      <c r="J242" s="8">
        <f t="shared" si="70"/>
        <v>538906.08960000006</v>
      </c>
      <c r="K242" s="8"/>
      <c r="L242" s="5">
        <v>0</v>
      </c>
      <c r="M242" s="8">
        <v>377234</v>
      </c>
      <c r="N242" s="8">
        <v>213588.54</v>
      </c>
      <c r="O242" s="8"/>
      <c r="P242" s="8">
        <v>-6991.03</v>
      </c>
      <c r="Q242" s="8">
        <f t="shared" si="58"/>
        <v>38.336458612547098</v>
      </c>
      <c r="R242" s="8">
        <v>161672</v>
      </c>
      <c r="S242" s="8">
        <f t="shared" si="67"/>
        <v>-8.9600000064820051E-2</v>
      </c>
    </row>
    <row r="243" spans="1:19" ht="18" customHeight="1">
      <c r="A243" s="5">
        <v>210</v>
      </c>
      <c r="B243" s="5">
        <v>4156</v>
      </c>
      <c r="C243" s="6" t="s">
        <v>490</v>
      </c>
      <c r="D243" s="5">
        <v>11055</v>
      </c>
      <c r="E243" s="7" t="s">
        <v>246</v>
      </c>
      <c r="F243" s="8">
        <v>319452.53000000003</v>
      </c>
      <c r="G243" s="8">
        <v>246.32</v>
      </c>
      <c r="H243" s="8">
        <f t="shared" si="56"/>
        <v>383343.03600000008</v>
      </c>
      <c r="I243" s="8">
        <f t="shared" si="57"/>
        <v>517513.09860000014</v>
      </c>
      <c r="J243" s="8">
        <f t="shared" si="70"/>
        <v>517513.09860000014</v>
      </c>
      <c r="K243" s="8"/>
      <c r="L243" s="5">
        <v>0</v>
      </c>
      <c r="M243" s="8">
        <v>362259</v>
      </c>
      <c r="N243" s="8">
        <v>229369.37</v>
      </c>
      <c r="O243" s="8"/>
      <c r="P243" s="8">
        <v>-6109.45</v>
      </c>
      <c r="Q243" s="8">
        <f t="shared" si="58"/>
        <v>43.140921573574239</v>
      </c>
      <c r="R243" s="8">
        <v>155254</v>
      </c>
      <c r="S243" s="8">
        <f t="shared" si="67"/>
        <v>-9.8600000143051147E-2</v>
      </c>
    </row>
    <row r="244" spans="1:19" ht="18" customHeight="1">
      <c r="A244" s="5">
        <v>211</v>
      </c>
      <c r="B244" s="5">
        <v>967</v>
      </c>
      <c r="C244" s="6" t="s">
        <v>491</v>
      </c>
      <c r="D244" s="5">
        <v>12337</v>
      </c>
      <c r="E244" s="7" t="s">
        <v>247</v>
      </c>
      <c r="F244" s="8">
        <v>373948.74</v>
      </c>
      <c r="G244" s="8">
        <v>290.88</v>
      </c>
      <c r="H244" s="8">
        <f t="shared" si="56"/>
        <v>448738.48799999995</v>
      </c>
      <c r="I244" s="8">
        <f t="shared" si="57"/>
        <v>605796.95879999991</v>
      </c>
      <c r="J244" s="8">
        <f t="shared" si="70"/>
        <v>605796.95879999991</v>
      </c>
      <c r="K244" s="8"/>
      <c r="L244" s="5">
        <v>0</v>
      </c>
      <c r="M244" s="8">
        <v>424058</v>
      </c>
      <c r="N244" s="8">
        <v>195600.18</v>
      </c>
      <c r="O244" s="8"/>
      <c r="P244" s="8">
        <v>-7743.63</v>
      </c>
      <c r="Q244" s="8">
        <f t="shared" si="58"/>
        <v>31.009820579508663</v>
      </c>
      <c r="R244" s="8">
        <v>181739</v>
      </c>
      <c r="S244" s="8">
        <f t="shared" si="67"/>
        <v>4.1200000094249845E-2</v>
      </c>
    </row>
    <row r="245" spans="1:19" ht="18" customHeight="1">
      <c r="A245" s="5">
        <v>212</v>
      </c>
      <c r="B245" s="5">
        <v>7667</v>
      </c>
      <c r="C245" s="6" t="s">
        <v>492</v>
      </c>
      <c r="D245" s="5">
        <v>14565</v>
      </c>
      <c r="E245" s="7" t="s">
        <v>248</v>
      </c>
      <c r="F245" s="8">
        <v>304457.94</v>
      </c>
      <c r="G245" s="8">
        <v>246.2</v>
      </c>
      <c r="H245" s="8">
        <f t="shared" si="56"/>
        <v>365349.52800000005</v>
      </c>
      <c r="I245" s="8">
        <f t="shared" si="57"/>
        <v>493221.86280000006</v>
      </c>
      <c r="J245" s="8">
        <f t="shared" si="70"/>
        <v>493221.86280000006</v>
      </c>
      <c r="K245" s="8"/>
      <c r="L245" s="5">
        <v>0</v>
      </c>
      <c r="M245" s="8">
        <v>345255</v>
      </c>
      <c r="N245" s="8">
        <v>191001.3</v>
      </c>
      <c r="O245" s="8"/>
      <c r="P245" s="8">
        <v>-7448.28</v>
      </c>
      <c r="Q245" s="8">
        <f t="shared" si="58"/>
        <v>37.21510213638485</v>
      </c>
      <c r="R245" s="8">
        <v>147967</v>
      </c>
      <c r="S245" s="8">
        <f t="shared" si="67"/>
        <v>0.13719999993918464</v>
      </c>
    </row>
    <row r="246" spans="1:19" ht="18" customHeight="1">
      <c r="A246" s="10" t="s">
        <v>12</v>
      </c>
      <c r="B246" s="11"/>
      <c r="C246" s="12"/>
      <c r="D246" s="11" t="s">
        <v>12</v>
      </c>
      <c r="E246" s="13" t="s">
        <v>249</v>
      </c>
      <c r="F246" s="14">
        <f>SUM(F238:F245)</f>
        <v>2673070.06</v>
      </c>
      <c r="G246" s="14">
        <v>260.95999999999998</v>
      </c>
      <c r="H246" s="14">
        <f t="shared" si="56"/>
        <v>3207684.0719999997</v>
      </c>
      <c r="I246" s="14">
        <f t="shared" si="57"/>
        <v>4330373.4971999992</v>
      </c>
      <c r="J246" s="14">
        <f>SUM(J238:J245)</f>
        <v>4330373.4972000001</v>
      </c>
      <c r="K246" s="14">
        <f t="shared" ref="K246:S246" si="71">SUM(K238:K245)</f>
        <v>0</v>
      </c>
      <c r="L246" s="14">
        <f t="shared" si="71"/>
        <v>-4603</v>
      </c>
      <c r="M246" s="14">
        <f t="shared" si="71"/>
        <v>3031262</v>
      </c>
      <c r="N246" s="14">
        <f t="shared" si="71"/>
        <v>1576077.9500000002</v>
      </c>
      <c r="O246" s="14">
        <f t="shared" si="71"/>
        <v>0</v>
      </c>
      <c r="P246" s="14">
        <f t="shared" si="71"/>
        <v>-44460.299999999996</v>
      </c>
      <c r="Q246" s="14">
        <f t="shared" si="58"/>
        <v>35.262885545262115</v>
      </c>
      <c r="R246" s="14">
        <f t="shared" si="71"/>
        <v>1299113</v>
      </c>
      <c r="S246" s="14">
        <f t="shared" si="71"/>
        <v>1.5027999997837469</v>
      </c>
    </row>
    <row r="247" spans="1:19" ht="18" customHeight="1">
      <c r="A247" s="5">
        <v>213</v>
      </c>
      <c r="B247" s="5">
        <v>5690</v>
      </c>
      <c r="C247" s="6" t="s">
        <v>493</v>
      </c>
      <c r="D247" s="5">
        <v>11046</v>
      </c>
      <c r="E247" s="7" t="s">
        <v>250</v>
      </c>
      <c r="F247" s="8">
        <v>368220.67</v>
      </c>
      <c r="G247" s="8">
        <v>322.7</v>
      </c>
      <c r="H247" s="8">
        <f t="shared" si="56"/>
        <v>441864.80399999995</v>
      </c>
      <c r="I247" s="8">
        <f t="shared" si="57"/>
        <v>596517.48539999989</v>
      </c>
      <c r="J247" s="8">
        <f t="shared" ref="J247:J249" si="72">+I247</f>
        <v>596517.48539999989</v>
      </c>
      <c r="K247" s="8">
        <v>50000</v>
      </c>
      <c r="L247" s="5">
        <v>18591</v>
      </c>
      <c r="M247" s="8">
        <v>150000</v>
      </c>
      <c r="N247" s="8">
        <v>218799.98</v>
      </c>
      <c r="O247" s="8">
        <v>200000</v>
      </c>
      <c r="P247" s="8">
        <v>76896.06</v>
      </c>
      <c r="Q247" s="8">
        <f t="shared" si="58"/>
        <v>52.686978620459413</v>
      </c>
      <c r="R247" s="8">
        <v>200000</v>
      </c>
      <c r="S247" s="8">
        <f t="shared" si="67"/>
        <v>3482.5146000001114</v>
      </c>
    </row>
    <row r="248" spans="1:19" ht="18" customHeight="1">
      <c r="A248" s="5">
        <v>214</v>
      </c>
      <c r="B248" s="5">
        <v>2299</v>
      </c>
      <c r="C248" s="6" t="s">
        <v>494</v>
      </c>
      <c r="D248" s="5">
        <v>13496</v>
      </c>
      <c r="E248" s="7" t="s">
        <v>251</v>
      </c>
      <c r="F248" s="8">
        <v>385453.4</v>
      </c>
      <c r="G248" s="8">
        <v>333.04</v>
      </c>
      <c r="H248" s="8">
        <f t="shared" si="56"/>
        <v>462544.08000000007</v>
      </c>
      <c r="I248" s="8">
        <f t="shared" si="57"/>
        <v>624434.50800000015</v>
      </c>
      <c r="J248" s="8">
        <f t="shared" si="72"/>
        <v>624434.50800000015</v>
      </c>
      <c r="K248" s="8">
        <v>50000</v>
      </c>
      <c r="L248" s="5">
        <v>675</v>
      </c>
      <c r="M248" s="8">
        <v>110000</v>
      </c>
      <c r="N248" s="8">
        <v>260705.56</v>
      </c>
      <c r="O248" s="8">
        <v>200000</v>
      </c>
      <c r="P248" s="8">
        <v>35904.339999999997</v>
      </c>
      <c r="Q248" s="8">
        <f t="shared" si="58"/>
        <v>47.608659705911052</v>
      </c>
      <c r="R248" s="8">
        <v>265000</v>
      </c>
      <c r="S248" s="8">
        <f t="shared" si="67"/>
        <v>565.49199999985285</v>
      </c>
    </row>
    <row r="249" spans="1:19" ht="18" customHeight="1">
      <c r="A249" s="5">
        <v>215</v>
      </c>
      <c r="B249" s="5">
        <v>2255</v>
      </c>
      <c r="C249" s="6" t="s">
        <v>495</v>
      </c>
      <c r="D249" s="5">
        <v>11047</v>
      </c>
      <c r="E249" s="7" t="s">
        <v>252</v>
      </c>
      <c r="F249" s="8">
        <v>456341.16</v>
      </c>
      <c r="G249" s="8">
        <v>383.7</v>
      </c>
      <c r="H249" s="8">
        <f t="shared" si="56"/>
        <v>547609.39199999999</v>
      </c>
      <c r="I249" s="8">
        <f t="shared" si="57"/>
        <v>739272.67920000001</v>
      </c>
      <c r="J249" s="8">
        <f t="shared" si="72"/>
        <v>739272.67920000001</v>
      </c>
      <c r="K249" s="8">
        <v>150000</v>
      </c>
      <c r="L249" s="5">
        <v>136392</v>
      </c>
      <c r="M249" s="8">
        <v>300000</v>
      </c>
      <c r="N249" s="8">
        <v>234337.48</v>
      </c>
      <c r="O249" s="8">
        <v>250000</v>
      </c>
      <c r="P249" s="8">
        <v>0</v>
      </c>
      <c r="Q249" s="8">
        <f t="shared" si="58"/>
        <v>50.147867009123466</v>
      </c>
      <c r="R249" s="8">
        <v>40000</v>
      </c>
      <c r="S249" s="8">
        <f t="shared" si="67"/>
        <v>727.32079999998678</v>
      </c>
    </row>
    <row r="250" spans="1:19" ht="18" customHeight="1">
      <c r="A250" s="5">
        <v>216</v>
      </c>
      <c r="B250" s="5">
        <v>1804</v>
      </c>
      <c r="C250" s="6" t="s">
        <v>496</v>
      </c>
      <c r="D250" s="5">
        <v>11051</v>
      </c>
      <c r="E250" s="7" t="s">
        <v>253</v>
      </c>
      <c r="F250" s="8">
        <v>205994.92</v>
      </c>
      <c r="G250" s="8">
        <v>149.08000000000001</v>
      </c>
      <c r="H250" s="8">
        <f t="shared" si="56"/>
        <v>247193.90400000004</v>
      </c>
      <c r="I250" s="8">
        <f t="shared" si="57"/>
        <v>333711.77040000004</v>
      </c>
      <c r="J250" s="5">
        <v>383712</v>
      </c>
      <c r="K250" s="5">
        <v>95000</v>
      </c>
      <c r="L250" s="5">
        <v>12998</v>
      </c>
      <c r="M250" s="5">
        <v>150000</v>
      </c>
      <c r="N250" s="8">
        <v>117545.13</v>
      </c>
      <c r="O250" s="5">
        <v>100000</v>
      </c>
      <c r="P250" s="8">
        <v>10389.77</v>
      </c>
      <c r="Q250" s="8">
        <f t="shared" si="58"/>
        <v>36.728822658660668</v>
      </c>
      <c r="R250" s="5">
        <v>40000</v>
      </c>
      <c r="S250" s="8">
        <f t="shared" si="67"/>
        <v>1288</v>
      </c>
    </row>
    <row r="251" spans="1:19" ht="18" customHeight="1">
      <c r="A251" s="5">
        <v>217</v>
      </c>
      <c r="B251" s="5">
        <v>8312</v>
      </c>
      <c r="C251" s="6" t="s">
        <v>497</v>
      </c>
      <c r="D251" s="5">
        <v>12980</v>
      </c>
      <c r="E251" s="7" t="s">
        <v>254</v>
      </c>
      <c r="F251" s="8">
        <v>270345.76000000007</v>
      </c>
      <c r="G251" s="8">
        <v>245.92</v>
      </c>
      <c r="H251" s="8">
        <f t="shared" si="56"/>
        <v>324414.91200000013</v>
      </c>
      <c r="I251" s="8">
        <f t="shared" si="57"/>
        <v>437960.13120000018</v>
      </c>
      <c r="J251" s="8">
        <f t="shared" ref="J251:J252" si="73">+I251</f>
        <v>437960.13120000018</v>
      </c>
      <c r="K251" s="8">
        <v>35000</v>
      </c>
      <c r="L251" s="5">
        <v>48100</v>
      </c>
      <c r="M251" s="8">
        <v>130000</v>
      </c>
      <c r="N251" s="8">
        <v>217412.46</v>
      </c>
      <c r="O251" s="8">
        <v>70000</v>
      </c>
      <c r="P251" s="8">
        <v>0</v>
      </c>
      <c r="Q251" s="8">
        <f t="shared" si="58"/>
        <v>60.624801456813486</v>
      </c>
      <c r="R251" s="8">
        <v>200000</v>
      </c>
      <c r="S251" s="8">
        <f t="shared" si="67"/>
        <v>-2960.1312000001781</v>
      </c>
    </row>
    <row r="252" spans="1:19" ht="18" customHeight="1">
      <c r="A252" s="5">
        <v>218</v>
      </c>
      <c r="B252" s="5">
        <v>2841</v>
      </c>
      <c r="C252" s="6" t="s">
        <v>498</v>
      </c>
      <c r="D252" s="5">
        <v>11054</v>
      </c>
      <c r="E252" s="7" t="s">
        <v>255</v>
      </c>
      <c r="F252" s="8">
        <v>334459.46999999997</v>
      </c>
      <c r="G252" s="8">
        <v>305.52999999999997</v>
      </c>
      <c r="H252" s="8">
        <f t="shared" si="56"/>
        <v>401351.364</v>
      </c>
      <c r="I252" s="8">
        <f t="shared" si="57"/>
        <v>541824.34140000003</v>
      </c>
      <c r="J252" s="8">
        <f t="shared" si="73"/>
        <v>541824.34140000003</v>
      </c>
      <c r="K252" s="8"/>
      <c r="L252" s="5">
        <v>0</v>
      </c>
      <c r="M252" s="8">
        <v>280000</v>
      </c>
      <c r="N252" s="8">
        <v>203560.86</v>
      </c>
      <c r="O252" s="8"/>
      <c r="P252" s="8">
        <v>0</v>
      </c>
      <c r="Q252" s="8">
        <f t="shared" si="58"/>
        <v>37.569530278766464</v>
      </c>
      <c r="R252" s="8">
        <v>262000</v>
      </c>
      <c r="S252" s="8">
        <f t="shared" si="67"/>
        <v>175.6585999999661</v>
      </c>
    </row>
    <row r="253" spans="1:19" ht="18" customHeight="1">
      <c r="A253" s="5">
        <v>219</v>
      </c>
      <c r="B253" s="5">
        <v>7315</v>
      </c>
      <c r="C253" s="6" t="s">
        <v>499</v>
      </c>
      <c r="D253" s="5">
        <v>12555</v>
      </c>
      <c r="E253" s="7" t="s">
        <v>256</v>
      </c>
      <c r="F253" s="8">
        <v>224883.32</v>
      </c>
      <c r="G253" s="8">
        <v>201.98</v>
      </c>
      <c r="H253" s="8">
        <f t="shared" si="56"/>
        <v>269859.98400000005</v>
      </c>
      <c r="I253" s="8">
        <f t="shared" si="57"/>
        <v>364310.97840000008</v>
      </c>
      <c r="J253" s="5">
        <v>414311</v>
      </c>
      <c r="K253" s="5"/>
      <c r="L253" s="5">
        <v>0</v>
      </c>
      <c r="M253" s="5">
        <v>200000</v>
      </c>
      <c r="N253" s="8">
        <v>79957.58</v>
      </c>
      <c r="O253" s="5"/>
      <c r="P253" s="8">
        <v>1036.44</v>
      </c>
      <c r="Q253" s="8">
        <f t="shared" si="58"/>
        <v>19.549087521209916</v>
      </c>
      <c r="R253" s="5">
        <v>215000</v>
      </c>
      <c r="S253" s="8">
        <f t="shared" si="67"/>
        <v>689</v>
      </c>
    </row>
    <row r="254" spans="1:19" ht="18" customHeight="1">
      <c r="A254" s="10" t="s">
        <v>12</v>
      </c>
      <c r="B254" s="11"/>
      <c r="C254" s="12"/>
      <c r="D254" s="11" t="s">
        <v>12</v>
      </c>
      <c r="E254" s="13" t="s">
        <v>257</v>
      </c>
      <c r="F254" s="14">
        <f>SUM(F247:F253)</f>
        <v>2245698.6999999997</v>
      </c>
      <c r="G254" s="14">
        <v>278.33</v>
      </c>
      <c r="H254" s="14">
        <f t="shared" si="56"/>
        <v>2694838.4399999995</v>
      </c>
      <c r="I254" s="14">
        <f t="shared" si="57"/>
        <v>3638031.8939999994</v>
      </c>
      <c r="J254" s="14">
        <f>SUM(J247:J253)</f>
        <v>3738032.1452000001</v>
      </c>
      <c r="K254" s="14">
        <f t="shared" ref="K254:S254" si="74">SUM(K247:K253)</f>
        <v>380000</v>
      </c>
      <c r="L254" s="14">
        <f t="shared" si="74"/>
        <v>216756</v>
      </c>
      <c r="M254" s="14">
        <f t="shared" si="74"/>
        <v>1320000</v>
      </c>
      <c r="N254" s="14">
        <f t="shared" si="74"/>
        <v>1332319.0500000003</v>
      </c>
      <c r="O254" s="14">
        <f t="shared" si="74"/>
        <v>820000</v>
      </c>
      <c r="P254" s="14">
        <f t="shared" si="74"/>
        <v>124226.61</v>
      </c>
      <c r="Q254" s="14">
        <f t="shared" si="58"/>
        <v>44.764239444775342</v>
      </c>
      <c r="R254" s="14">
        <f t="shared" si="74"/>
        <v>1222000</v>
      </c>
      <c r="S254" s="14">
        <f t="shared" si="74"/>
        <v>3967.854799999739</v>
      </c>
    </row>
    <row r="255" spans="1:19" ht="18" customHeight="1">
      <c r="A255" s="5">
        <v>220</v>
      </c>
      <c r="B255" s="5">
        <v>3673</v>
      </c>
      <c r="C255" s="6" t="s">
        <v>500</v>
      </c>
      <c r="D255" s="5">
        <v>11052</v>
      </c>
      <c r="E255" s="7" t="s">
        <v>258</v>
      </c>
      <c r="F255" s="8">
        <v>315247.84999999998</v>
      </c>
      <c r="G255" s="8">
        <v>270.68</v>
      </c>
      <c r="H255" s="8">
        <f t="shared" si="56"/>
        <v>378297.41999999993</v>
      </c>
      <c r="I255" s="8">
        <f t="shared" si="57"/>
        <v>510701.51699999988</v>
      </c>
      <c r="J255" s="8">
        <v>510702</v>
      </c>
      <c r="K255" s="8">
        <v>120000</v>
      </c>
      <c r="L255" s="5">
        <v>48738</v>
      </c>
      <c r="M255" s="8">
        <v>230000</v>
      </c>
      <c r="N255" s="8">
        <v>78236.91</v>
      </c>
      <c r="O255" s="8">
        <v>120000</v>
      </c>
      <c r="P255" s="8">
        <v>96031.77</v>
      </c>
      <c r="Q255" s="8">
        <f t="shared" si="58"/>
        <v>43.666694079913526</v>
      </c>
      <c r="R255" s="8">
        <v>40702</v>
      </c>
      <c r="S255" s="8">
        <f t="shared" si="67"/>
        <v>0</v>
      </c>
    </row>
    <row r="256" spans="1:19" ht="18" customHeight="1">
      <c r="A256" s="5">
        <v>221</v>
      </c>
      <c r="B256" s="5">
        <v>0</v>
      </c>
      <c r="C256" s="6" t="s">
        <v>501</v>
      </c>
      <c r="D256" s="5">
        <v>11058</v>
      </c>
      <c r="E256" s="7" t="s">
        <v>259</v>
      </c>
      <c r="F256" s="8">
        <v>146204.38</v>
      </c>
      <c r="G256" s="8">
        <v>127.4</v>
      </c>
      <c r="H256" s="8">
        <f t="shared" si="56"/>
        <v>175445.25599999999</v>
      </c>
      <c r="I256" s="8">
        <f t="shared" si="57"/>
        <v>236851.0956</v>
      </c>
      <c r="J256" s="5">
        <v>336851</v>
      </c>
      <c r="K256" s="5">
        <v>100000</v>
      </c>
      <c r="L256" s="5">
        <v>0</v>
      </c>
      <c r="M256" s="5">
        <v>120000</v>
      </c>
      <c r="N256" s="8">
        <v>172013.46</v>
      </c>
      <c r="O256" s="5">
        <v>80000</v>
      </c>
      <c r="P256" s="8">
        <v>188813.62</v>
      </c>
      <c r="Q256" s="8">
        <f t="shared" si="58"/>
        <v>107.11771079794923</v>
      </c>
      <c r="R256" s="5">
        <v>36851</v>
      </c>
      <c r="S256" s="8">
        <f t="shared" si="67"/>
        <v>0</v>
      </c>
    </row>
    <row r="257" spans="1:19" ht="18" customHeight="1">
      <c r="A257" s="5">
        <v>222</v>
      </c>
      <c r="B257" s="5">
        <v>1291</v>
      </c>
      <c r="C257" s="6" t="s">
        <v>502</v>
      </c>
      <c r="D257" s="5">
        <v>11053</v>
      </c>
      <c r="E257" s="7" t="s">
        <v>260</v>
      </c>
      <c r="F257" s="8">
        <v>320579.38999999996</v>
      </c>
      <c r="G257" s="8">
        <v>273.95999999999998</v>
      </c>
      <c r="H257" s="8">
        <f t="shared" si="56"/>
        <v>384695.26799999992</v>
      </c>
      <c r="I257" s="8">
        <f t="shared" si="57"/>
        <v>519338.6117999999</v>
      </c>
      <c r="J257" s="8">
        <v>519339</v>
      </c>
      <c r="K257" s="8">
        <v>170000</v>
      </c>
      <c r="L257" s="5">
        <v>105498</v>
      </c>
      <c r="M257" s="8">
        <v>200000</v>
      </c>
      <c r="N257" s="8">
        <v>174334.47</v>
      </c>
      <c r="O257" s="8">
        <v>100000</v>
      </c>
      <c r="P257" s="8">
        <v>30429.58</v>
      </c>
      <c r="Q257" s="8">
        <f t="shared" si="58"/>
        <v>59.741719763006429</v>
      </c>
      <c r="R257" s="8">
        <v>49339</v>
      </c>
      <c r="S257" s="8">
        <f t="shared" si="67"/>
        <v>0</v>
      </c>
    </row>
    <row r="258" spans="1:19" ht="18" customHeight="1">
      <c r="A258" s="5">
        <v>223</v>
      </c>
      <c r="B258" s="5">
        <v>5470</v>
      </c>
      <c r="C258" s="6" t="s">
        <v>503</v>
      </c>
      <c r="D258" s="5">
        <v>13092</v>
      </c>
      <c r="E258" s="7" t="s">
        <v>261</v>
      </c>
      <c r="F258" s="8">
        <v>312543.11000000004</v>
      </c>
      <c r="G258" s="8">
        <v>272.72000000000003</v>
      </c>
      <c r="H258" s="8">
        <f t="shared" si="56"/>
        <v>375051.73200000008</v>
      </c>
      <c r="I258" s="8">
        <f t="shared" si="57"/>
        <v>506319.83820000011</v>
      </c>
      <c r="J258" s="8">
        <v>506320</v>
      </c>
      <c r="K258" s="8">
        <v>130000</v>
      </c>
      <c r="L258" s="5">
        <v>127359</v>
      </c>
      <c r="M258" s="8">
        <v>200000</v>
      </c>
      <c r="N258" s="8">
        <v>91529.1</v>
      </c>
      <c r="O258" s="8">
        <v>150000</v>
      </c>
      <c r="P258" s="8">
        <v>70436.41</v>
      </c>
      <c r="Q258" s="8">
        <f t="shared" si="58"/>
        <v>57.142619292147259</v>
      </c>
      <c r="R258" s="8">
        <v>26320</v>
      </c>
      <c r="S258" s="8">
        <f t="shared" si="67"/>
        <v>0</v>
      </c>
    </row>
    <row r="259" spans="1:19" ht="18" customHeight="1">
      <c r="A259" s="5">
        <v>224</v>
      </c>
      <c r="B259" s="5">
        <v>7581</v>
      </c>
      <c r="C259" s="6" t="s">
        <v>504</v>
      </c>
      <c r="D259" s="5">
        <v>12406</v>
      </c>
      <c r="E259" s="7" t="s">
        <v>262</v>
      </c>
      <c r="F259" s="8">
        <v>351105.27999999997</v>
      </c>
      <c r="G259" s="8">
        <v>296.25</v>
      </c>
      <c r="H259" s="8">
        <f t="shared" si="56"/>
        <v>421326.33600000001</v>
      </c>
      <c r="I259" s="8">
        <f t="shared" si="57"/>
        <v>568790.55359999998</v>
      </c>
      <c r="J259" s="8">
        <v>568791</v>
      </c>
      <c r="K259" s="8">
        <v>180000</v>
      </c>
      <c r="L259" s="5">
        <v>144794</v>
      </c>
      <c r="M259" s="8">
        <v>230000</v>
      </c>
      <c r="N259" s="8">
        <v>71707.91</v>
      </c>
      <c r="O259" s="8">
        <v>120000</v>
      </c>
      <c r="P259" s="8">
        <v>16731.64</v>
      </c>
      <c r="Q259" s="8">
        <f t="shared" si="58"/>
        <v>41.005140728316725</v>
      </c>
      <c r="R259" s="8">
        <v>38791</v>
      </c>
      <c r="S259" s="8">
        <f t="shared" si="67"/>
        <v>0</v>
      </c>
    </row>
    <row r="260" spans="1:19" ht="18" customHeight="1">
      <c r="A260" s="5">
        <v>225</v>
      </c>
      <c r="B260" s="5">
        <v>1382</v>
      </c>
      <c r="C260" s="6" t="s">
        <v>505</v>
      </c>
      <c r="D260" s="5">
        <v>14564</v>
      </c>
      <c r="E260" s="7" t="s">
        <v>263</v>
      </c>
      <c r="F260" s="8">
        <v>259274.07</v>
      </c>
      <c r="G260" s="8">
        <v>242.77</v>
      </c>
      <c r="H260" s="8">
        <f t="shared" ref="H260:H290" si="75">(F260/5)*6</f>
        <v>311128.88399999996</v>
      </c>
      <c r="I260" s="8">
        <f t="shared" ref="I260:I290" si="76">(H260*35%)+H260</f>
        <v>420023.99339999992</v>
      </c>
      <c r="J260" s="8">
        <v>420024</v>
      </c>
      <c r="K260" s="8">
        <v>70000</v>
      </c>
      <c r="L260" s="5">
        <v>49529</v>
      </c>
      <c r="M260" s="8">
        <v>150000</v>
      </c>
      <c r="N260" s="8">
        <v>77309.67</v>
      </c>
      <c r="O260" s="8">
        <v>150000</v>
      </c>
      <c r="P260" s="8">
        <v>-4591.46</v>
      </c>
      <c r="Q260" s="8">
        <f t="shared" ref="Q260:Q290" si="77">(P260+N260+L260)/J260%</f>
        <v>29.104815439117765</v>
      </c>
      <c r="R260" s="8">
        <v>50024</v>
      </c>
      <c r="S260" s="8">
        <f t="shared" si="67"/>
        <v>0</v>
      </c>
    </row>
    <row r="261" spans="1:19" ht="18" customHeight="1">
      <c r="A261" s="5">
        <v>226</v>
      </c>
      <c r="B261" s="5">
        <v>2281</v>
      </c>
      <c r="C261" s="6" t="s">
        <v>298</v>
      </c>
      <c r="D261" s="5">
        <v>14701</v>
      </c>
      <c r="E261" s="7" t="s">
        <v>264</v>
      </c>
      <c r="F261" s="8">
        <v>296183.02999999997</v>
      </c>
      <c r="G261" s="8">
        <v>344.21</v>
      </c>
      <c r="H261" s="8">
        <f t="shared" si="75"/>
        <v>355419.63599999994</v>
      </c>
      <c r="I261" s="8">
        <f t="shared" si="76"/>
        <v>479816.50859999994</v>
      </c>
      <c r="J261" s="8">
        <v>479817</v>
      </c>
      <c r="K261" s="8">
        <v>170000</v>
      </c>
      <c r="L261" s="5">
        <v>40650</v>
      </c>
      <c r="M261" s="8">
        <v>120000</v>
      </c>
      <c r="N261" s="8">
        <v>54339.62</v>
      </c>
      <c r="O261" s="8">
        <v>0</v>
      </c>
      <c r="P261" s="8">
        <v>0</v>
      </c>
      <c r="Q261" s="8">
        <f t="shared" si="77"/>
        <v>19.797051792662618</v>
      </c>
      <c r="R261" s="8">
        <v>189817</v>
      </c>
      <c r="S261" s="8">
        <f t="shared" si="67"/>
        <v>0</v>
      </c>
    </row>
    <row r="262" spans="1:19" ht="16.5" customHeight="1">
      <c r="A262" s="10" t="s">
        <v>12</v>
      </c>
      <c r="B262" s="11"/>
      <c r="C262" s="12"/>
      <c r="D262" s="11" t="s">
        <v>12</v>
      </c>
      <c r="E262" s="13" t="s">
        <v>265</v>
      </c>
      <c r="F262" s="14">
        <f>SUM(F255:F261)</f>
        <v>2001137.11</v>
      </c>
      <c r="G262" s="14">
        <v>258.67</v>
      </c>
      <c r="H262" s="14">
        <f t="shared" si="75"/>
        <v>2401364.5320000001</v>
      </c>
      <c r="I262" s="14">
        <f t="shared" si="76"/>
        <v>3241842.1182000004</v>
      </c>
      <c r="J262" s="14">
        <f>SUM(J255:J261)</f>
        <v>3341844</v>
      </c>
      <c r="K262" s="14">
        <f t="shared" ref="K262:S262" si="78">SUM(K255:K261)</f>
        <v>940000</v>
      </c>
      <c r="L262" s="14">
        <f t="shared" si="78"/>
        <v>516568</v>
      </c>
      <c r="M262" s="14">
        <f t="shared" si="78"/>
        <v>1250000</v>
      </c>
      <c r="N262" s="14">
        <f t="shared" si="78"/>
        <v>719471.14</v>
      </c>
      <c r="O262" s="14">
        <f t="shared" si="78"/>
        <v>720000</v>
      </c>
      <c r="P262" s="14">
        <f t="shared" si="78"/>
        <v>397851.56</v>
      </c>
      <c r="Q262" s="14">
        <f t="shared" si="77"/>
        <v>48.891890225875294</v>
      </c>
      <c r="R262" s="14">
        <f t="shared" si="78"/>
        <v>431844</v>
      </c>
      <c r="S262" s="14">
        <f t="shared" si="78"/>
        <v>0</v>
      </c>
    </row>
    <row r="263" spans="1:19" ht="18" customHeight="1">
      <c r="A263" s="5">
        <v>227</v>
      </c>
      <c r="B263" s="5">
        <v>1895</v>
      </c>
      <c r="C263" s="6" t="s">
        <v>506</v>
      </c>
      <c r="D263" s="5">
        <v>11061</v>
      </c>
      <c r="E263" s="7" t="s">
        <v>266</v>
      </c>
      <c r="F263" s="8">
        <v>289778.57</v>
      </c>
      <c r="G263" s="8">
        <v>264.54000000000002</v>
      </c>
      <c r="H263" s="8">
        <f t="shared" si="75"/>
        <v>347734.28399999999</v>
      </c>
      <c r="I263" s="8">
        <f t="shared" si="76"/>
        <v>469441.28339999996</v>
      </c>
      <c r="J263" s="8">
        <v>469441</v>
      </c>
      <c r="K263" s="8">
        <v>100000</v>
      </c>
      <c r="L263" s="5">
        <v>109691</v>
      </c>
      <c r="M263" s="8">
        <v>100000</v>
      </c>
      <c r="N263" s="8">
        <v>43302.37</v>
      </c>
      <c r="O263" s="8">
        <v>269441</v>
      </c>
      <c r="P263" s="8">
        <v>163434.82</v>
      </c>
      <c r="Q263" s="8">
        <f t="shared" si="77"/>
        <v>67.405316110011697</v>
      </c>
      <c r="R263" s="8"/>
      <c r="S263" s="8">
        <f t="shared" si="67"/>
        <v>0</v>
      </c>
    </row>
    <row r="264" spans="1:19" ht="18" customHeight="1">
      <c r="A264" s="5">
        <v>228</v>
      </c>
      <c r="B264" s="5">
        <v>5803</v>
      </c>
      <c r="C264" s="6" t="s">
        <v>507</v>
      </c>
      <c r="D264" s="5">
        <v>13029</v>
      </c>
      <c r="E264" s="7" t="s">
        <v>267</v>
      </c>
      <c r="F264" s="8">
        <v>202388.15</v>
      </c>
      <c r="G264" s="8">
        <v>196.21</v>
      </c>
      <c r="H264" s="8">
        <f t="shared" si="75"/>
        <v>242865.77999999997</v>
      </c>
      <c r="I264" s="8">
        <f t="shared" si="76"/>
        <v>327868.80299999996</v>
      </c>
      <c r="J264" s="5">
        <v>338605</v>
      </c>
      <c r="K264" s="5">
        <v>30000</v>
      </c>
      <c r="L264" s="5">
        <v>41485</v>
      </c>
      <c r="M264" s="5">
        <v>220000</v>
      </c>
      <c r="N264" s="8">
        <v>167440.89000000001</v>
      </c>
      <c r="O264" s="5">
        <v>88605</v>
      </c>
      <c r="P264" s="8">
        <v>43894.52</v>
      </c>
      <c r="Q264" s="8">
        <f t="shared" si="77"/>
        <v>74.665291416251975</v>
      </c>
      <c r="R264" s="5"/>
      <c r="S264" s="8">
        <f t="shared" si="67"/>
        <v>0</v>
      </c>
    </row>
    <row r="265" spans="1:19" ht="18" customHeight="1">
      <c r="A265" s="5">
        <v>229</v>
      </c>
      <c r="B265" s="5">
        <v>7415</v>
      </c>
      <c r="C265" s="6" t="s">
        <v>508</v>
      </c>
      <c r="D265" s="5">
        <v>11059</v>
      </c>
      <c r="E265" s="7" t="s">
        <v>268</v>
      </c>
      <c r="F265" s="8">
        <v>313210.33999999997</v>
      </c>
      <c r="G265" s="8">
        <v>267.08</v>
      </c>
      <c r="H265" s="8">
        <f t="shared" si="75"/>
        <v>375852.40799999994</v>
      </c>
      <c r="I265" s="8">
        <f t="shared" si="76"/>
        <v>507400.75079999992</v>
      </c>
      <c r="J265" s="8">
        <v>507401</v>
      </c>
      <c r="K265" s="8">
        <v>50000</v>
      </c>
      <c r="L265" s="5">
        <v>45915</v>
      </c>
      <c r="M265" s="8">
        <v>50000</v>
      </c>
      <c r="N265" s="8">
        <v>82779.210000000006</v>
      </c>
      <c r="O265" s="8">
        <v>300000</v>
      </c>
      <c r="P265" s="8">
        <v>162317.09</v>
      </c>
      <c r="Q265" s="8">
        <f t="shared" si="77"/>
        <v>57.353316213409116</v>
      </c>
      <c r="R265" s="8">
        <v>107401</v>
      </c>
      <c r="S265" s="8">
        <f t="shared" si="67"/>
        <v>0</v>
      </c>
    </row>
    <row r="266" spans="1:19" ht="18" customHeight="1">
      <c r="A266" s="5">
        <v>230</v>
      </c>
      <c r="B266" s="5">
        <v>6556</v>
      </c>
      <c r="C266" s="6" t="s">
        <v>509</v>
      </c>
      <c r="D266" s="5">
        <v>11060</v>
      </c>
      <c r="E266" s="7" t="s">
        <v>269</v>
      </c>
      <c r="F266" s="8">
        <v>302090.51</v>
      </c>
      <c r="G266" s="8">
        <v>264.69</v>
      </c>
      <c r="H266" s="8">
        <f t="shared" si="75"/>
        <v>362508.61199999996</v>
      </c>
      <c r="I266" s="8">
        <f t="shared" si="76"/>
        <v>489386.62619999994</v>
      </c>
      <c r="J266" s="8">
        <v>489387</v>
      </c>
      <c r="K266" s="8">
        <v>50000</v>
      </c>
      <c r="L266" s="5">
        <v>26678</v>
      </c>
      <c r="M266" s="8">
        <v>50000</v>
      </c>
      <c r="N266" s="8">
        <v>50472.27</v>
      </c>
      <c r="O266" s="8">
        <v>300000</v>
      </c>
      <c r="P266" s="8">
        <v>169145.27</v>
      </c>
      <c r="Q266" s="8">
        <f t="shared" si="77"/>
        <v>50.327356468398214</v>
      </c>
      <c r="R266" s="8">
        <v>89387</v>
      </c>
      <c r="S266" s="8">
        <f t="shared" si="67"/>
        <v>0</v>
      </c>
    </row>
    <row r="267" spans="1:19" ht="18" customHeight="1">
      <c r="A267" s="5">
        <v>231</v>
      </c>
      <c r="B267" s="5">
        <v>7726</v>
      </c>
      <c r="C267" s="6" t="s">
        <v>510</v>
      </c>
      <c r="D267" s="5">
        <v>12600</v>
      </c>
      <c r="E267" s="7" t="s">
        <v>270</v>
      </c>
      <c r="F267" s="8">
        <v>286056.80000000005</v>
      </c>
      <c r="G267" s="8">
        <v>258.44</v>
      </c>
      <c r="H267" s="8">
        <f t="shared" si="75"/>
        <v>343268.16000000003</v>
      </c>
      <c r="I267" s="8">
        <f t="shared" si="76"/>
        <v>463412.01600000006</v>
      </c>
      <c r="J267" s="8">
        <v>463412</v>
      </c>
      <c r="K267" s="8">
        <v>50000</v>
      </c>
      <c r="L267" s="5">
        <v>38749</v>
      </c>
      <c r="M267" s="8">
        <v>60000</v>
      </c>
      <c r="N267" s="8">
        <v>32606.55</v>
      </c>
      <c r="O267" s="8">
        <v>300000</v>
      </c>
      <c r="P267" s="8">
        <v>112763.27</v>
      </c>
      <c r="Q267" s="8">
        <f t="shared" si="77"/>
        <v>39.731129103260166</v>
      </c>
      <c r="R267" s="8">
        <v>53412</v>
      </c>
      <c r="S267" s="8">
        <f t="shared" si="67"/>
        <v>0</v>
      </c>
    </row>
    <row r="268" spans="1:19" ht="18" customHeight="1">
      <c r="A268" s="5">
        <v>232</v>
      </c>
      <c r="B268" s="5">
        <v>8313</v>
      </c>
      <c r="C268" s="6" t="s">
        <v>511</v>
      </c>
      <c r="D268" s="5">
        <v>14651</v>
      </c>
      <c r="E268" s="7" t="s">
        <v>271</v>
      </c>
      <c r="F268" s="8">
        <v>296152.42</v>
      </c>
      <c r="G268" s="8">
        <v>247.26</v>
      </c>
      <c r="H268" s="8">
        <f t="shared" si="75"/>
        <v>355382.90399999998</v>
      </c>
      <c r="I268" s="8">
        <f t="shared" si="76"/>
        <v>479766.92039999994</v>
      </c>
      <c r="J268" s="8">
        <v>479767</v>
      </c>
      <c r="K268" s="8">
        <v>50000</v>
      </c>
      <c r="L268" s="5">
        <v>10023</v>
      </c>
      <c r="M268" s="8">
        <v>60000</v>
      </c>
      <c r="N268" s="8">
        <v>54933.27</v>
      </c>
      <c r="O268" s="8">
        <v>300000</v>
      </c>
      <c r="P268" s="8">
        <v>151253.25</v>
      </c>
      <c r="Q268" s="8">
        <f t="shared" si="77"/>
        <v>45.065525557197553</v>
      </c>
      <c r="R268" s="8">
        <v>69767</v>
      </c>
      <c r="S268" s="8">
        <f t="shared" si="67"/>
        <v>0</v>
      </c>
    </row>
    <row r="269" spans="1:19" ht="18" customHeight="1">
      <c r="A269" s="5">
        <v>233</v>
      </c>
      <c r="B269" s="5">
        <v>1475</v>
      </c>
      <c r="C269" s="6" t="s">
        <v>512</v>
      </c>
      <c r="D269" s="5">
        <v>11066</v>
      </c>
      <c r="E269" s="7" t="s">
        <v>272</v>
      </c>
      <c r="F269" s="8">
        <v>400065.85</v>
      </c>
      <c r="G269" s="8">
        <v>214.98</v>
      </c>
      <c r="H269" s="8">
        <f t="shared" si="75"/>
        <v>480079.02</v>
      </c>
      <c r="I269" s="8">
        <f t="shared" si="76"/>
        <v>648106.67700000003</v>
      </c>
      <c r="J269" s="5">
        <v>648107</v>
      </c>
      <c r="K269" s="5">
        <v>60000</v>
      </c>
      <c r="L269" s="5">
        <v>97794</v>
      </c>
      <c r="M269" s="5">
        <v>70000</v>
      </c>
      <c r="N269" s="8">
        <v>147245.98000000001</v>
      </c>
      <c r="O269" s="5">
        <v>400000</v>
      </c>
      <c r="P269" s="8">
        <v>223186.86</v>
      </c>
      <c r="Q269" s="8">
        <f t="shared" si="77"/>
        <v>72.245299001553761</v>
      </c>
      <c r="R269" s="5">
        <v>118107</v>
      </c>
      <c r="S269" s="8">
        <f t="shared" si="67"/>
        <v>0</v>
      </c>
    </row>
    <row r="270" spans="1:19" ht="18" customHeight="1">
      <c r="A270" s="5">
        <v>234</v>
      </c>
      <c r="B270" s="5">
        <v>1607</v>
      </c>
      <c r="C270" s="6" t="s">
        <v>513</v>
      </c>
      <c r="D270" s="5">
        <v>11067</v>
      </c>
      <c r="E270" s="7" t="s">
        <v>273</v>
      </c>
      <c r="F270" s="8">
        <v>400536.09</v>
      </c>
      <c r="G270" s="8">
        <v>229</v>
      </c>
      <c r="H270" s="8">
        <f t="shared" si="75"/>
        <v>480643.30800000008</v>
      </c>
      <c r="I270" s="8">
        <f t="shared" si="76"/>
        <v>648868.46580000012</v>
      </c>
      <c r="J270" s="8">
        <v>648868</v>
      </c>
      <c r="K270" s="8">
        <v>70000</v>
      </c>
      <c r="L270" s="5">
        <v>33078</v>
      </c>
      <c r="M270" s="8">
        <v>80000</v>
      </c>
      <c r="N270" s="8">
        <v>122064.4</v>
      </c>
      <c r="O270" s="8">
        <v>350000</v>
      </c>
      <c r="P270" s="8">
        <v>229017.06</v>
      </c>
      <c r="Q270" s="8">
        <f t="shared" si="77"/>
        <v>59.204562407145978</v>
      </c>
      <c r="R270" s="8">
        <v>148868</v>
      </c>
      <c r="S270" s="8">
        <f t="shared" si="67"/>
        <v>0</v>
      </c>
    </row>
    <row r="271" spans="1:19" ht="18" customHeight="1">
      <c r="A271" s="5">
        <v>235</v>
      </c>
      <c r="B271" s="5">
        <v>3157</v>
      </c>
      <c r="C271" s="6" t="s">
        <v>514</v>
      </c>
      <c r="D271" s="5">
        <v>13263</v>
      </c>
      <c r="E271" s="7" t="s">
        <v>274</v>
      </c>
      <c r="F271" s="8">
        <v>478380.77999999997</v>
      </c>
      <c r="G271" s="8">
        <v>274.56</v>
      </c>
      <c r="H271" s="8">
        <f t="shared" si="75"/>
        <v>574056.93599999999</v>
      </c>
      <c r="I271" s="8">
        <f t="shared" si="76"/>
        <v>774976.86360000004</v>
      </c>
      <c r="J271" s="8">
        <v>774977</v>
      </c>
      <c r="K271" s="8">
        <v>60000</v>
      </c>
      <c r="L271" s="5">
        <v>76907</v>
      </c>
      <c r="M271" s="8">
        <v>70000</v>
      </c>
      <c r="N271" s="8">
        <v>85138.55</v>
      </c>
      <c r="O271" s="8">
        <v>400000</v>
      </c>
      <c r="P271" s="8">
        <v>185487.28</v>
      </c>
      <c r="Q271" s="8">
        <f t="shared" si="77"/>
        <v>44.844276668855976</v>
      </c>
      <c r="R271" s="8">
        <v>244977</v>
      </c>
      <c r="S271" s="8">
        <f t="shared" si="67"/>
        <v>0</v>
      </c>
    </row>
    <row r="272" spans="1:19">
      <c r="A272" s="10" t="s">
        <v>12</v>
      </c>
      <c r="B272" s="11"/>
      <c r="C272" s="12"/>
      <c r="D272" s="11" t="s">
        <v>12</v>
      </c>
      <c r="E272" s="13" t="s">
        <v>536</v>
      </c>
      <c r="F272" s="14">
        <f>SUM(F263:F271)</f>
        <v>2968659.5099999993</v>
      </c>
      <c r="G272" s="14">
        <v>245.56</v>
      </c>
      <c r="H272" s="14">
        <f t="shared" si="75"/>
        <v>3562391.4119999995</v>
      </c>
      <c r="I272" s="14">
        <f t="shared" si="76"/>
        <v>4809228.4061999992</v>
      </c>
      <c r="J272" s="14">
        <f>SUM(J263:J271)</f>
        <v>4819965</v>
      </c>
      <c r="K272" s="14">
        <f t="shared" ref="K272:S272" si="79">SUM(K263:K271)</f>
        <v>520000</v>
      </c>
      <c r="L272" s="14">
        <f t="shared" si="79"/>
        <v>480320</v>
      </c>
      <c r="M272" s="14">
        <f t="shared" si="79"/>
        <v>760000</v>
      </c>
      <c r="N272" s="14">
        <f t="shared" si="79"/>
        <v>785983.49000000011</v>
      </c>
      <c r="O272" s="14">
        <f t="shared" si="79"/>
        <v>2708046</v>
      </c>
      <c r="P272" s="14">
        <f t="shared" si="79"/>
        <v>1440499.42</v>
      </c>
      <c r="Q272" s="14">
        <f t="shared" si="77"/>
        <v>56.158144509348098</v>
      </c>
      <c r="R272" s="14">
        <f t="shared" si="79"/>
        <v>831919</v>
      </c>
      <c r="S272" s="14">
        <f t="shared" si="79"/>
        <v>0</v>
      </c>
    </row>
    <row r="273" spans="1:19" ht="18" customHeight="1">
      <c r="A273" s="5">
        <v>236</v>
      </c>
      <c r="B273" s="5">
        <v>5920</v>
      </c>
      <c r="C273" s="6" t="s">
        <v>515</v>
      </c>
      <c r="D273" s="5">
        <v>13309</v>
      </c>
      <c r="E273" s="7" t="s">
        <v>275</v>
      </c>
      <c r="F273" s="8">
        <v>320786.49</v>
      </c>
      <c r="G273" s="8">
        <v>242.13</v>
      </c>
      <c r="H273" s="8">
        <f t="shared" si="75"/>
        <v>384943.78799999994</v>
      </c>
      <c r="I273" s="8">
        <f t="shared" si="76"/>
        <v>519674.11379999993</v>
      </c>
      <c r="J273" s="8">
        <f t="shared" ref="J273:J278" si="80">+I273</f>
        <v>519674.11379999993</v>
      </c>
      <c r="K273" s="8">
        <v>353231</v>
      </c>
      <c r="L273" s="5">
        <v>177529</v>
      </c>
      <c r="M273" s="8"/>
      <c r="N273" s="8">
        <v>0</v>
      </c>
      <c r="O273" s="8">
        <v>166443</v>
      </c>
      <c r="P273" s="8">
        <v>184288.01</v>
      </c>
      <c r="Q273" s="8">
        <f t="shared" si="77"/>
        <v>69.62382777820018</v>
      </c>
      <c r="R273" s="8"/>
      <c r="S273" s="8">
        <f t="shared" si="67"/>
        <v>-0.11379999993368983</v>
      </c>
    </row>
    <row r="274" spans="1:19" ht="18" customHeight="1">
      <c r="A274" s="5">
        <v>237</v>
      </c>
      <c r="B274" s="5">
        <v>3728</v>
      </c>
      <c r="C274" s="6" t="s">
        <v>516</v>
      </c>
      <c r="D274" s="5">
        <v>11048</v>
      </c>
      <c r="E274" s="7" t="s">
        <v>276</v>
      </c>
      <c r="F274" s="8">
        <v>509925.41000000003</v>
      </c>
      <c r="G274" s="8">
        <v>305.10000000000002</v>
      </c>
      <c r="H274" s="8">
        <f t="shared" si="75"/>
        <v>611910.49200000009</v>
      </c>
      <c r="I274" s="8">
        <f t="shared" si="76"/>
        <v>826079.16420000012</v>
      </c>
      <c r="J274" s="8">
        <f t="shared" si="80"/>
        <v>826079.16420000012</v>
      </c>
      <c r="K274" s="8">
        <v>470632</v>
      </c>
      <c r="L274" s="5">
        <v>176862</v>
      </c>
      <c r="M274" s="8"/>
      <c r="N274" s="8">
        <v>-2151.42</v>
      </c>
      <c r="O274" s="8">
        <v>355447</v>
      </c>
      <c r="P274" s="8">
        <v>309823.09999999998</v>
      </c>
      <c r="Q274" s="8">
        <f t="shared" si="77"/>
        <v>58.654630330645965</v>
      </c>
      <c r="R274" s="8"/>
      <c r="S274" s="8">
        <f t="shared" si="67"/>
        <v>-0.16420000011567026</v>
      </c>
    </row>
    <row r="275" spans="1:19" ht="18" customHeight="1">
      <c r="A275" s="5">
        <v>238</v>
      </c>
      <c r="B275" s="5">
        <v>1962</v>
      </c>
      <c r="C275" s="6" t="s">
        <v>517</v>
      </c>
      <c r="D275" s="5">
        <v>11049</v>
      </c>
      <c r="E275" s="7" t="s">
        <v>277</v>
      </c>
      <c r="F275" s="8">
        <v>399829.94</v>
      </c>
      <c r="G275" s="8">
        <v>334.63</v>
      </c>
      <c r="H275" s="8">
        <f t="shared" si="75"/>
        <v>479795.92799999996</v>
      </c>
      <c r="I275" s="8">
        <f t="shared" si="76"/>
        <v>647724.5027999999</v>
      </c>
      <c r="J275" s="8">
        <f t="shared" si="80"/>
        <v>647724.5027999999</v>
      </c>
      <c r="K275" s="8">
        <v>370725</v>
      </c>
      <c r="L275" s="5">
        <v>224754</v>
      </c>
      <c r="M275" s="8"/>
      <c r="N275" s="8">
        <v>-18374.810000000001</v>
      </c>
      <c r="O275" s="8">
        <v>277000</v>
      </c>
      <c r="P275" s="8">
        <v>183713.96</v>
      </c>
      <c r="Q275" s="8">
        <f t="shared" si="77"/>
        <v>60.225164914048399</v>
      </c>
      <c r="R275" s="8"/>
      <c r="S275" s="8">
        <f t="shared" si="67"/>
        <v>0.49720000009983778</v>
      </c>
    </row>
    <row r="276" spans="1:19" ht="18" customHeight="1">
      <c r="A276" s="5">
        <v>239</v>
      </c>
      <c r="B276" s="5">
        <v>5139</v>
      </c>
      <c r="C276" s="6" t="s">
        <v>518</v>
      </c>
      <c r="D276" s="5">
        <v>11050</v>
      </c>
      <c r="E276" s="7" t="s">
        <v>278</v>
      </c>
      <c r="F276" s="8">
        <v>398106.58999999997</v>
      </c>
      <c r="G276" s="8">
        <v>348.22</v>
      </c>
      <c r="H276" s="8">
        <f t="shared" si="75"/>
        <v>477727.908</v>
      </c>
      <c r="I276" s="8">
        <f t="shared" si="76"/>
        <v>644932.67579999997</v>
      </c>
      <c r="J276" s="8">
        <f t="shared" si="80"/>
        <v>644932.67579999997</v>
      </c>
      <c r="K276" s="8">
        <v>365463</v>
      </c>
      <c r="L276" s="5">
        <v>236297</v>
      </c>
      <c r="M276" s="8"/>
      <c r="N276" s="8">
        <v>-14628.95</v>
      </c>
      <c r="O276" s="8">
        <v>279470</v>
      </c>
      <c r="P276" s="8">
        <v>179571.89</v>
      </c>
      <c r="Q276" s="8">
        <f t="shared" si="77"/>
        <v>62.214236470851191</v>
      </c>
      <c r="R276" s="8"/>
      <c r="S276" s="8">
        <f t="shared" si="67"/>
        <v>0.32420000003185123</v>
      </c>
    </row>
    <row r="277" spans="1:19" ht="18" customHeight="1">
      <c r="A277" s="5">
        <v>240</v>
      </c>
      <c r="B277" s="5">
        <v>3674</v>
      </c>
      <c r="C277" s="6" t="s">
        <v>519</v>
      </c>
      <c r="D277" s="5">
        <v>12293</v>
      </c>
      <c r="E277" s="7" t="s">
        <v>279</v>
      </c>
      <c r="F277" s="8">
        <v>295564.55</v>
      </c>
      <c r="G277" s="8">
        <v>229.59</v>
      </c>
      <c r="H277" s="8">
        <f t="shared" si="75"/>
        <v>354677.45999999996</v>
      </c>
      <c r="I277" s="8">
        <f t="shared" si="76"/>
        <v>478814.57099999994</v>
      </c>
      <c r="J277" s="8">
        <f t="shared" si="80"/>
        <v>478814.57099999994</v>
      </c>
      <c r="K277" s="8">
        <v>310560</v>
      </c>
      <c r="L277" s="5">
        <v>141038</v>
      </c>
      <c r="M277" s="8"/>
      <c r="N277" s="8">
        <v>-8136.52</v>
      </c>
      <c r="O277" s="8">
        <v>168255</v>
      </c>
      <c r="P277" s="8">
        <v>147696.51</v>
      </c>
      <c r="Q277" s="8">
        <f t="shared" si="77"/>
        <v>58.602642232456205</v>
      </c>
      <c r="R277" s="8"/>
      <c r="S277" s="8">
        <f t="shared" si="67"/>
        <v>0.42900000006193295</v>
      </c>
    </row>
    <row r="278" spans="1:19" ht="18" customHeight="1">
      <c r="A278" s="5">
        <v>241</v>
      </c>
      <c r="B278" s="5">
        <v>7316</v>
      </c>
      <c r="C278" s="6" t="s">
        <v>520</v>
      </c>
      <c r="D278" s="5">
        <v>13085</v>
      </c>
      <c r="E278" s="7" t="s">
        <v>280</v>
      </c>
      <c r="F278" s="8">
        <v>287226.13</v>
      </c>
      <c r="G278" s="8">
        <v>236.29</v>
      </c>
      <c r="H278" s="8">
        <f t="shared" si="75"/>
        <v>344671.35600000003</v>
      </c>
      <c r="I278" s="8">
        <f t="shared" si="76"/>
        <v>465306.33060000004</v>
      </c>
      <c r="J278" s="8">
        <f t="shared" si="80"/>
        <v>465306.33060000004</v>
      </c>
      <c r="K278" s="8">
        <v>305680</v>
      </c>
      <c r="L278" s="5">
        <v>126334</v>
      </c>
      <c r="M278" s="8"/>
      <c r="N278" s="8">
        <v>-6150.68</v>
      </c>
      <c r="O278" s="8">
        <v>159626</v>
      </c>
      <c r="P278" s="8">
        <v>194957.67</v>
      </c>
      <c r="Q278" s="8">
        <f t="shared" si="77"/>
        <v>67.727638606084327</v>
      </c>
      <c r="R278" s="8"/>
      <c r="S278" s="8">
        <f t="shared" si="67"/>
        <v>-0.33060000004479662</v>
      </c>
    </row>
    <row r="279" spans="1:19" ht="18" customHeight="1">
      <c r="A279" s="10" t="s">
        <v>12</v>
      </c>
      <c r="B279" s="11"/>
      <c r="C279" s="12"/>
      <c r="D279" s="11" t="s">
        <v>12</v>
      </c>
      <c r="E279" s="13" t="s">
        <v>281</v>
      </c>
      <c r="F279" s="14">
        <f>SUM(F273:F278)</f>
        <v>2211439.1100000003</v>
      </c>
      <c r="G279" s="14">
        <v>282.56</v>
      </c>
      <c r="H279" s="14">
        <f t="shared" si="75"/>
        <v>2653726.932</v>
      </c>
      <c r="I279" s="14">
        <f t="shared" si="76"/>
        <v>3582531.3582000001</v>
      </c>
      <c r="J279" s="14">
        <f>SUM(J273:J278)</f>
        <v>3582531.3581999997</v>
      </c>
      <c r="K279" s="14">
        <f t="shared" ref="K279:S279" si="81">SUM(K273:K278)</f>
        <v>2176291</v>
      </c>
      <c r="L279" s="14">
        <f t="shared" si="81"/>
        <v>1082814</v>
      </c>
      <c r="M279" s="14">
        <f t="shared" si="81"/>
        <v>0</v>
      </c>
      <c r="N279" s="14">
        <f t="shared" si="81"/>
        <v>-49442.380000000012</v>
      </c>
      <c r="O279" s="14">
        <f t="shared" si="81"/>
        <v>1406241</v>
      </c>
      <c r="P279" s="14">
        <f t="shared" si="81"/>
        <v>1200051.1399999999</v>
      </c>
      <c r="Q279" s="14">
        <f t="shared" si="77"/>
        <v>62.342029606745903</v>
      </c>
      <c r="R279" s="14">
        <f t="shared" si="81"/>
        <v>0</v>
      </c>
      <c r="S279" s="14">
        <f t="shared" si="81"/>
        <v>0.64180000009946525</v>
      </c>
    </row>
    <row r="280" spans="1:19" ht="18" customHeight="1">
      <c r="A280" s="5">
        <v>242</v>
      </c>
      <c r="B280" s="5">
        <v>1334</v>
      </c>
      <c r="C280" s="6" t="s">
        <v>521</v>
      </c>
      <c r="D280" s="5">
        <v>11041</v>
      </c>
      <c r="E280" s="7" t="s">
        <v>282</v>
      </c>
      <c r="F280" s="8">
        <v>392851.89</v>
      </c>
      <c r="G280" s="8">
        <v>306.97000000000003</v>
      </c>
      <c r="H280" s="8">
        <f t="shared" si="75"/>
        <v>471422.26799999998</v>
      </c>
      <c r="I280" s="8">
        <f t="shared" si="76"/>
        <v>636420.06180000002</v>
      </c>
      <c r="J280" s="8">
        <v>636420</v>
      </c>
      <c r="K280" s="8"/>
      <c r="L280" s="5">
        <v>0</v>
      </c>
      <c r="M280" s="8">
        <v>450420</v>
      </c>
      <c r="N280" s="8">
        <v>267288.71999999997</v>
      </c>
      <c r="O280" s="8"/>
      <c r="P280" s="8">
        <v>0</v>
      </c>
      <c r="Q280" s="8">
        <f t="shared" si="77"/>
        <v>41.998793249740736</v>
      </c>
      <c r="R280" s="8">
        <v>186000</v>
      </c>
      <c r="S280" s="8">
        <f t="shared" si="67"/>
        <v>0</v>
      </c>
    </row>
    <row r="281" spans="1:19" ht="18" customHeight="1">
      <c r="A281" s="5">
        <v>243</v>
      </c>
      <c r="B281" s="5">
        <v>7061</v>
      </c>
      <c r="C281" s="6" t="s">
        <v>522</v>
      </c>
      <c r="D281" s="5">
        <v>12556</v>
      </c>
      <c r="E281" s="7" t="s">
        <v>283</v>
      </c>
      <c r="F281" s="8">
        <v>282739.71999999997</v>
      </c>
      <c r="G281" s="8">
        <v>242.19</v>
      </c>
      <c r="H281" s="8">
        <f t="shared" si="75"/>
        <v>339287.66399999999</v>
      </c>
      <c r="I281" s="8">
        <f t="shared" si="76"/>
        <v>458038.34639999998</v>
      </c>
      <c r="J281" s="8">
        <v>458038</v>
      </c>
      <c r="K281" s="8"/>
      <c r="L281" s="5">
        <v>0</v>
      </c>
      <c r="M281" s="8">
        <v>350038</v>
      </c>
      <c r="N281" s="8">
        <v>208984.39</v>
      </c>
      <c r="O281" s="8"/>
      <c r="P281" s="8">
        <v>-4853.07</v>
      </c>
      <c r="Q281" s="8">
        <f t="shared" si="77"/>
        <v>44.566459551390935</v>
      </c>
      <c r="R281" s="8">
        <v>108000</v>
      </c>
      <c r="S281" s="8">
        <f t="shared" si="67"/>
        <v>0</v>
      </c>
    </row>
    <row r="282" spans="1:19" ht="18" customHeight="1">
      <c r="A282" s="5">
        <v>244</v>
      </c>
      <c r="B282" s="5">
        <v>1300</v>
      </c>
      <c r="C282" s="6" t="s">
        <v>523</v>
      </c>
      <c r="D282" s="5">
        <v>11042</v>
      </c>
      <c r="E282" s="7" t="s">
        <v>284</v>
      </c>
      <c r="F282" s="8">
        <v>195642.46</v>
      </c>
      <c r="G282" s="8">
        <v>180.05</v>
      </c>
      <c r="H282" s="8">
        <f t="shared" si="75"/>
        <v>234770.95199999999</v>
      </c>
      <c r="I282" s="8">
        <f t="shared" si="76"/>
        <v>316940.78519999998</v>
      </c>
      <c r="J282" s="5">
        <v>363896</v>
      </c>
      <c r="K282" s="5">
        <v>250896</v>
      </c>
      <c r="L282" s="5">
        <v>181631</v>
      </c>
      <c r="M282" s="5"/>
      <c r="N282" s="8">
        <v>-3501.5</v>
      </c>
      <c r="O282" s="5">
        <v>113000</v>
      </c>
      <c r="P282" s="8">
        <v>105573.59</v>
      </c>
      <c r="Q282" s="8">
        <f t="shared" si="77"/>
        <v>77.962684393343139</v>
      </c>
      <c r="R282" s="5"/>
      <c r="S282" s="8">
        <f t="shared" si="67"/>
        <v>0</v>
      </c>
    </row>
    <row r="283" spans="1:19" ht="18" customHeight="1">
      <c r="A283" s="5">
        <v>245</v>
      </c>
      <c r="B283" s="5">
        <v>5678</v>
      </c>
      <c r="C283" s="6" t="s">
        <v>524</v>
      </c>
      <c r="D283" s="5">
        <v>13033</v>
      </c>
      <c r="E283" s="7" t="s">
        <v>285</v>
      </c>
      <c r="F283" s="8">
        <v>228954.84</v>
      </c>
      <c r="G283" s="8">
        <v>204.21</v>
      </c>
      <c r="H283" s="8">
        <f t="shared" si="75"/>
        <v>274745.80800000002</v>
      </c>
      <c r="I283" s="8">
        <f t="shared" si="76"/>
        <v>370906.84080000001</v>
      </c>
      <c r="J283" s="5">
        <v>412121</v>
      </c>
      <c r="K283" s="5">
        <v>312121</v>
      </c>
      <c r="L283" s="5">
        <v>130046</v>
      </c>
      <c r="M283" s="5"/>
      <c r="N283" s="8">
        <v>5515.03</v>
      </c>
      <c r="O283" s="5">
        <v>100000</v>
      </c>
      <c r="P283" s="8">
        <v>176289.4</v>
      </c>
      <c r="Q283" s="8">
        <f t="shared" si="77"/>
        <v>75.669628579955884</v>
      </c>
      <c r="R283" s="5"/>
      <c r="S283" s="8">
        <f t="shared" si="67"/>
        <v>0</v>
      </c>
    </row>
    <row r="284" spans="1:19" ht="18" customHeight="1">
      <c r="A284" s="5">
        <v>246</v>
      </c>
      <c r="B284" s="5">
        <v>1620</v>
      </c>
      <c r="C284" s="6" t="s">
        <v>525</v>
      </c>
      <c r="D284" s="5">
        <v>11056</v>
      </c>
      <c r="E284" s="7" t="s">
        <v>286</v>
      </c>
      <c r="F284" s="8">
        <v>381393.72</v>
      </c>
      <c r="G284" s="8">
        <v>270.37</v>
      </c>
      <c r="H284" s="8">
        <f t="shared" si="75"/>
        <v>457672.46399999992</v>
      </c>
      <c r="I284" s="8">
        <f t="shared" si="76"/>
        <v>617857.8263999999</v>
      </c>
      <c r="J284" s="8">
        <v>617858</v>
      </c>
      <c r="K284" s="8">
        <v>417858</v>
      </c>
      <c r="L284" s="5">
        <v>328048</v>
      </c>
      <c r="M284" s="8"/>
      <c r="N284" s="8">
        <v>0</v>
      </c>
      <c r="O284" s="8">
        <v>200000</v>
      </c>
      <c r="P284" s="8">
        <v>167734.01</v>
      </c>
      <c r="Q284" s="8">
        <f t="shared" si="77"/>
        <v>80.24206371043185</v>
      </c>
      <c r="R284" s="8"/>
      <c r="S284" s="8">
        <f t="shared" si="67"/>
        <v>0</v>
      </c>
    </row>
    <row r="285" spans="1:19" ht="18" customHeight="1">
      <c r="A285" s="5">
        <v>247</v>
      </c>
      <c r="B285" s="5">
        <v>1694</v>
      </c>
      <c r="C285" s="6" t="s">
        <v>526</v>
      </c>
      <c r="D285" s="5">
        <v>11057</v>
      </c>
      <c r="E285" s="7" t="s">
        <v>287</v>
      </c>
      <c r="F285" s="8">
        <v>423161.57999999996</v>
      </c>
      <c r="G285" s="8">
        <v>309.42</v>
      </c>
      <c r="H285" s="8">
        <f t="shared" si="75"/>
        <v>507793.89599999995</v>
      </c>
      <c r="I285" s="8">
        <f t="shared" si="76"/>
        <v>685521.75959999999</v>
      </c>
      <c r="J285" s="8">
        <v>685522</v>
      </c>
      <c r="K285" s="8">
        <v>485522</v>
      </c>
      <c r="L285" s="5">
        <v>288917</v>
      </c>
      <c r="M285" s="8"/>
      <c r="N285" s="8">
        <v>0</v>
      </c>
      <c r="O285" s="8">
        <v>200000</v>
      </c>
      <c r="P285" s="8">
        <v>188223.44</v>
      </c>
      <c r="Q285" s="8">
        <f t="shared" si="77"/>
        <v>69.602498533963896</v>
      </c>
      <c r="R285" s="8"/>
      <c r="S285" s="8">
        <f t="shared" si="67"/>
        <v>0</v>
      </c>
    </row>
    <row r="286" spans="1:19" ht="18" customHeight="1">
      <c r="A286" s="5">
        <v>248</v>
      </c>
      <c r="B286" s="5">
        <v>3598</v>
      </c>
      <c r="C286" s="6" t="s">
        <v>527</v>
      </c>
      <c r="D286" s="5">
        <v>14001</v>
      </c>
      <c r="E286" s="7" t="s">
        <v>288</v>
      </c>
      <c r="F286" s="8">
        <v>519995.64</v>
      </c>
      <c r="G286" s="8">
        <v>371.53</v>
      </c>
      <c r="H286" s="8">
        <f t="shared" si="75"/>
        <v>623994.76799999992</v>
      </c>
      <c r="I286" s="8">
        <f t="shared" si="76"/>
        <v>842392.93679999991</v>
      </c>
      <c r="J286" s="8">
        <v>842393</v>
      </c>
      <c r="K286" s="8">
        <v>542393</v>
      </c>
      <c r="L286" s="5">
        <v>150197</v>
      </c>
      <c r="M286" s="8"/>
      <c r="N286" s="8">
        <v>0</v>
      </c>
      <c r="O286" s="8">
        <v>300000</v>
      </c>
      <c r="P286" s="8">
        <v>426023.22</v>
      </c>
      <c r="Q286" s="8">
        <f>(P286+N286+L286)/J286%</f>
        <v>68.402778750535674</v>
      </c>
      <c r="R286" s="8"/>
      <c r="S286" s="8">
        <f t="shared" si="67"/>
        <v>0</v>
      </c>
    </row>
    <row r="287" spans="1:19" ht="18" customHeight="1">
      <c r="A287" s="5">
        <v>249</v>
      </c>
      <c r="B287" s="5">
        <v>964</v>
      </c>
      <c r="C287" s="6" t="s">
        <v>528</v>
      </c>
      <c r="D287" s="5">
        <v>14655</v>
      </c>
      <c r="E287" s="7" t="s">
        <v>289</v>
      </c>
      <c r="F287" s="8">
        <v>211098.86</v>
      </c>
      <c r="G287" s="8">
        <v>227.48</v>
      </c>
      <c r="H287" s="8">
        <f t="shared" si="75"/>
        <v>253318.63199999998</v>
      </c>
      <c r="I287" s="8">
        <f t="shared" si="76"/>
        <v>341980.15319999994</v>
      </c>
      <c r="J287" s="8">
        <v>341980</v>
      </c>
      <c r="K287" s="8"/>
      <c r="L287" s="5">
        <v>0</v>
      </c>
      <c r="M287" s="8">
        <v>241980</v>
      </c>
      <c r="N287" s="8">
        <v>88155.44</v>
      </c>
      <c r="O287" s="8"/>
      <c r="P287" s="8">
        <v>-539.73</v>
      </c>
      <c r="Q287" s="8">
        <f t="shared" si="77"/>
        <v>25.620126908006316</v>
      </c>
      <c r="R287" s="8">
        <v>100000</v>
      </c>
      <c r="S287" s="8">
        <f t="shared" si="67"/>
        <v>0</v>
      </c>
    </row>
    <row r="288" spans="1:19" ht="18" customHeight="1">
      <c r="A288" s="10" t="s">
        <v>12</v>
      </c>
      <c r="B288" s="11"/>
      <c r="C288" s="12"/>
      <c r="D288" s="11" t="s">
        <v>12</v>
      </c>
      <c r="E288" s="13" t="s">
        <v>290</v>
      </c>
      <c r="F288" s="14">
        <f>SUM(F280:F287)</f>
        <v>2635838.71</v>
      </c>
      <c r="G288" s="14">
        <v>271.19</v>
      </c>
      <c r="H288" s="14">
        <f t="shared" si="75"/>
        <v>3163006.4519999996</v>
      </c>
      <c r="I288" s="14">
        <f t="shared" si="76"/>
        <v>4270058.7101999996</v>
      </c>
      <c r="J288" s="14">
        <f>SUM(J280:J287)</f>
        <v>4358228</v>
      </c>
      <c r="K288" s="14">
        <f t="shared" ref="K288:S288" si="82">SUM(K280:K287)</f>
        <v>2008790</v>
      </c>
      <c r="L288" s="14">
        <f t="shared" si="82"/>
        <v>1078839</v>
      </c>
      <c r="M288" s="14">
        <f t="shared" si="82"/>
        <v>1042438</v>
      </c>
      <c r="N288" s="14">
        <f t="shared" si="82"/>
        <v>566442.08000000007</v>
      </c>
      <c r="O288" s="14">
        <f t="shared" si="82"/>
        <v>913000</v>
      </c>
      <c r="P288" s="14">
        <f t="shared" si="82"/>
        <v>1058450.8599999999</v>
      </c>
      <c r="Q288" s="14">
        <f t="shared" si="77"/>
        <v>62.037413829657375</v>
      </c>
      <c r="R288" s="14">
        <f t="shared" si="82"/>
        <v>394000</v>
      </c>
      <c r="S288" s="14">
        <f t="shared" si="82"/>
        <v>0</v>
      </c>
    </row>
    <row r="289" spans="1:19" ht="21" customHeight="1">
      <c r="A289" s="15"/>
      <c r="B289" s="16"/>
      <c r="C289" s="17"/>
      <c r="D289" s="16" t="s">
        <v>12</v>
      </c>
      <c r="E289" s="20" t="s">
        <v>291</v>
      </c>
      <c r="F289" s="19">
        <f>F288+F279+F272+F262+F254+F246+F237</f>
        <v>17621923.109999999</v>
      </c>
      <c r="G289" s="19">
        <v>260.17</v>
      </c>
      <c r="H289" s="19">
        <f t="shared" si="75"/>
        <v>21146307.732000001</v>
      </c>
      <c r="I289" s="19">
        <f t="shared" si="76"/>
        <v>28547515.438200001</v>
      </c>
      <c r="J289" s="19">
        <f>J288+J279+J272+J262+J254+J246+J237</f>
        <v>28915080.317199998</v>
      </c>
      <c r="K289" s="19">
        <f t="shared" ref="K289:S289" si="83">K288+K279+K272+K262+K254+K246+K237</f>
        <v>6811650</v>
      </c>
      <c r="L289" s="19">
        <f t="shared" si="83"/>
        <v>3723525</v>
      </c>
      <c r="M289" s="19">
        <f t="shared" si="83"/>
        <v>9103700</v>
      </c>
      <c r="N289" s="19">
        <f t="shared" si="83"/>
        <v>5574697.4699999997</v>
      </c>
      <c r="O289" s="19">
        <f t="shared" si="83"/>
        <v>7967871</v>
      </c>
      <c r="P289" s="19">
        <f t="shared" si="83"/>
        <v>5287442.3800000008</v>
      </c>
      <c r="Q289" s="19">
        <f t="shared" si="77"/>
        <v>50.443106814833186</v>
      </c>
      <c r="R289" s="19">
        <f t="shared" si="83"/>
        <v>5035831</v>
      </c>
      <c r="S289" s="19">
        <f t="shared" si="83"/>
        <v>3971.6827999995439</v>
      </c>
    </row>
    <row r="290" spans="1:19">
      <c r="A290" s="21" t="s">
        <v>12</v>
      </c>
      <c r="B290" s="21" t="s">
        <v>12</v>
      </c>
      <c r="C290" s="22" t="s">
        <v>12</v>
      </c>
      <c r="D290" s="23"/>
      <c r="E290" s="24" t="s">
        <v>292</v>
      </c>
      <c r="F290" s="25">
        <f>F289+F229+F176+F114+F60</f>
        <v>87647863.930000007</v>
      </c>
      <c r="G290" s="25">
        <v>261.7</v>
      </c>
      <c r="H290" s="25">
        <f t="shared" si="75"/>
        <v>105177436.71600002</v>
      </c>
      <c r="I290" s="25">
        <f t="shared" si="76"/>
        <v>141989539.56660002</v>
      </c>
      <c r="J290" s="25">
        <f>J289+J229+J176+J114+J60</f>
        <v>145511531.67416218</v>
      </c>
      <c r="K290" s="25">
        <f t="shared" ref="K290:S290" si="84">K289+K229+K176+K114+K60</f>
        <v>28484361</v>
      </c>
      <c r="L290" s="25">
        <f>L289+L229+L176+L114+L60</f>
        <v>14990412</v>
      </c>
      <c r="M290" s="25">
        <f t="shared" si="84"/>
        <v>40435478</v>
      </c>
      <c r="N290" s="25">
        <f t="shared" si="84"/>
        <v>25454180.339999996</v>
      </c>
      <c r="O290" s="25">
        <f t="shared" si="84"/>
        <v>52654963.6818</v>
      </c>
      <c r="P290" s="25">
        <f t="shared" si="84"/>
        <v>29953647.120000005</v>
      </c>
      <c r="Q290" s="25">
        <f>(P290+N290+L290)/J290%</f>
        <v>48.379835364278762</v>
      </c>
      <c r="R290" s="25">
        <f t="shared" si="84"/>
        <v>24443607</v>
      </c>
      <c r="S290" s="25">
        <f t="shared" si="84"/>
        <v>506878.00763782003</v>
      </c>
    </row>
    <row r="291" spans="1:19">
      <c r="C291" s="9"/>
    </row>
  </sheetData>
  <mergeCells count="1">
    <mergeCell ref="A1:J1"/>
  </mergeCells>
  <conditionalFormatting sqref="G3:G290">
    <cfRule type="cellIs" dxfId="0" priority="1" operator="lessThan">
      <formula>220</formula>
    </cfRule>
  </conditionalFormatting>
  <pageMargins left="0.25" right="0.25" top="0.75" bottom="0.75" header="0.3" footer="0.3"/>
  <pageSetup paperSize="9" scale="65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Eid-ul-adha Projection (2)</vt:lpstr>
      <vt:lpstr>Eid-ul-adha Projection</vt:lpstr>
      <vt:lpstr>'Eid-ul-adha Projection'!Print_Area</vt:lpstr>
      <vt:lpstr>'Eid-ul-adha Projection (2)'!Print_Area</vt:lpstr>
      <vt:lpstr>'Eid-ul-adha Projection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  Shohidul   Islam</dc:creator>
  <cp:lastModifiedBy>Md   Shohidul   Islam</cp:lastModifiedBy>
  <cp:lastPrinted>2026-05-24T04:10:17Z</cp:lastPrinted>
  <dcterms:created xsi:type="dcterms:W3CDTF">2026-04-30T10:12:32Z</dcterms:created>
  <dcterms:modified xsi:type="dcterms:W3CDTF">2026-05-24T04:24:01Z</dcterms:modified>
</cp:coreProperties>
</file>